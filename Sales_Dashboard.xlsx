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ivak\OneDrive\Documents\My documents\"/>
    </mc:Choice>
  </mc:AlternateContent>
  <xr:revisionPtr revIDLastSave="0" documentId="13_ncr:1_{D2D3398C-01C8-452A-BDE9-B87F08288954}" xr6:coauthVersionLast="47" xr6:coauthVersionMax="47" xr10:uidLastSave="{00000000-0000-0000-0000-000000000000}"/>
  <bookViews>
    <workbookView xWindow="-108" yWindow="-108" windowWidth="23256" windowHeight="13176" tabRatio="745" activeTab="5" xr2:uid="{9A520181-3DEB-4B24-BD91-61B7B28F070A}"/>
  </bookViews>
  <sheets>
    <sheet name="Raw_Data" sheetId="2" r:id="rId1"/>
    <sheet name="Pivot_Data - 1" sheetId="3" r:id="rId2"/>
    <sheet name="Pivot_Data - 2" sheetId="8" r:id="rId3"/>
    <sheet name="Pivot_Data - 3" sheetId="11" r:id="rId4"/>
    <sheet name="Pivot_Data - 4" sheetId="9" r:id="rId5"/>
    <sheet name="Dashboard" sheetId="12" r:id="rId6"/>
  </sheets>
  <definedNames>
    <definedName name="Slicer_Category">#N/A</definedName>
    <definedName name="Slicer_Region">#N/A</definedName>
    <definedName name="Slicer_Years_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1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tc={069BD688-BD8A-49ED-A924-11FBF7DFBE9C}</author>
  </authors>
  <commentList>
    <comment ref="L4" authorId="0" shapeId="0" xr:uid="{069BD688-BD8A-49ED-A924-11FBF7DFBE9C}">
      <text>
        <t xml:space="preserve">[Threaded comment]
Your version of Excel allows you to read this threaded comment; however, any edits to it will get removed if the file is opened in a newer version of Excel. Learn more: https://go.microsoft.com/fwlink/?linkid=870924
Comment:
    J4-L4
</t>
      </text>
    </comment>
  </commentList>
</comments>
</file>

<file path=xl/sharedStrings.xml><?xml version="1.0" encoding="utf-8"?>
<sst xmlns="http://schemas.openxmlformats.org/spreadsheetml/2006/main" count="667" uniqueCount="43">
  <si>
    <t>Order_ID</t>
  </si>
  <si>
    <t>Date</t>
  </si>
  <si>
    <t>Region</t>
  </si>
  <si>
    <t>Salesperson</t>
  </si>
  <si>
    <t>Product</t>
  </si>
  <si>
    <t>Category</t>
  </si>
  <si>
    <t>Quantity</t>
  </si>
  <si>
    <t>Sales</t>
  </si>
  <si>
    <t>Cost</t>
  </si>
  <si>
    <t>East</t>
  </si>
  <si>
    <t>West</t>
  </si>
  <si>
    <t>North</t>
  </si>
  <si>
    <t>South</t>
  </si>
  <si>
    <t>Rahul</t>
  </si>
  <si>
    <t>Priya</t>
  </si>
  <si>
    <t>Amit</t>
  </si>
  <si>
    <t>Neha</t>
  </si>
  <si>
    <t>Laptop</t>
  </si>
  <si>
    <t>Mobile</t>
  </si>
  <si>
    <t>Chair</t>
  </si>
  <si>
    <t>Table</t>
  </si>
  <si>
    <t>Headphones</t>
  </si>
  <si>
    <t>Mouse</t>
  </si>
  <si>
    <t>Keyboard</t>
  </si>
  <si>
    <t>Monitor</t>
  </si>
  <si>
    <t>Sofa</t>
  </si>
  <si>
    <t>Desk</t>
  </si>
  <si>
    <t>Electronics</t>
  </si>
  <si>
    <t>Furniture</t>
  </si>
  <si>
    <t>Grand Total</t>
  </si>
  <si>
    <t>Sum of Sales</t>
  </si>
  <si>
    <t>Sum of Profit = Sales - Cost</t>
  </si>
  <si>
    <t>Profit = Sales-Cost</t>
  </si>
  <si>
    <t>Jan</t>
  </si>
  <si>
    <t>Feb</t>
  </si>
  <si>
    <t>Mar</t>
  </si>
  <si>
    <t>2024</t>
  </si>
  <si>
    <t>SALES BY REGION</t>
  </si>
  <si>
    <t>MONTHLY SALES TREND</t>
  </si>
  <si>
    <t>CATEGORY-WISE SALES</t>
  </si>
  <si>
    <t>TOP 5 PRODUCTS</t>
  </si>
  <si>
    <t>Monthly</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</si>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</sst>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0" fontId="0" fillId="0" borderId="1" xfId="0" pivotButton="1" applyBorder="1"/>
    <xf numFmtId="0" fontId="0" fillId="0" borderId="1" xfId="0" applyBorder="1" applyAlignment="1">
      <alignment horizontal="left"/>
    </xf>
    <xf numFmtId="0" fontId="0" fillId="0" borderId="1" xfId="0" applyBorder="1" applyAlignment="1">
      <alignment horizontal="left" indent="1"/>
    </xf>
    <xf numFmtId="0" fontId="0" fillId="2" borderId="1" xfId="0" applyFill="1" applyBorder="1"/>
    <xf numFmtId="0" fontId="0" fillId="3"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3" fillId="0" borderId="0" xfId="0" applyFont="1"/>
    <xf numFmtId="0" fontId="2" fillId="0" borderId="0" xfId="0" applyFont="1"/>
    <xf numFmtId="0" fontId="4" fillId="0" borderId="0" xfId="0" applyFont="1"/>
    <xf numFmtId="0" fontId="3" fillId="0" borderId="0" xfId="0" applyFont="1" applyAlignment="1">
      <alignment horizontal="center"/>
    </xf>
    <xf numFmtId="0" fontId="2" fillId="0" borderId="0" xfId="0" applyFont="1" applyAlignment="1">
      <alignment horizontal="center"/>
    </xf>
  </cellXfs>
  <cellStyles count="1">
    <cellStyle name="Normal" xfId="0" builtinId="0"/>
  </cellStyles>
  <dxfs count="14">
    <dxf>
      <fill>
        <patternFill patternType="solid">
          <bgColor theme="5" tint="0.39997558519241921"/>
        </patternFill>
      </fill>
    </dxf>
    <dxf>
      <fill>
        <patternFill patternType="solid">
          <bgColor theme="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[Sales_performance_Dashboard.xlsx]Pivot_Data - 1!PivotTable1</c:name>
    <c:fmtId val="27"/>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 - 1'!$B$3</c:f>
              <c:strCache>
                <c:ptCount val="1"/>
                <c:pt idx="0">
                  <c:v>Sum of Sales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'Pivot_Data - 1'!$A$4:$A$28</c:f>
              <c:multiLvlStrCache>
                <c:ptCount val="20"/>
                <c:lvl>
                  <c:pt idx="0">
                    <c:v>Chair</c:v>
                  </c:pt>
                  <c:pt idx="1">
                    <c:v>Headphones</c:v>
                  </c:pt>
                  <c:pt idx="2">
                    <c:v>Keyboard</c:v>
                  </c:pt>
                  <c:pt idx="3">
                    <c:v>Laptop</c:v>
                  </c:pt>
                  <c:pt idx="4">
                    <c:v>Sofa</c:v>
                  </c:pt>
                  <c:pt idx="5">
                    <c:v>Chair</c:v>
                  </c:pt>
                  <c:pt idx="6">
                    <c:v>Headphones</c:v>
                  </c:pt>
                  <c:pt idx="7">
                    <c:v>Keyboard</c:v>
                  </c:pt>
                  <c:pt idx="8">
                    <c:v>Laptop</c:v>
                  </c:pt>
                  <c:pt idx="9">
                    <c:v>Sofa</c:v>
                  </c:pt>
                  <c:pt idx="10">
                    <c:v>Desk</c:v>
                  </c:pt>
                  <c:pt idx="11">
                    <c:v>Mobile</c:v>
                  </c:pt>
                  <c:pt idx="12">
                    <c:v>Monitor</c:v>
                  </c:pt>
                  <c:pt idx="13">
                    <c:v>Mouse</c:v>
                  </c:pt>
                  <c:pt idx="14">
                    <c:v>Table</c:v>
                  </c:pt>
                  <c:pt idx="15">
                    <c:v>Desk</c:v>
                  </c:pt>
                  <c:pt idx="16">
                    <c:v>Mobile</c:v>
                  </c:pt>
                  <c:pt idx="17">
                    <c:v>Monitor</c:v>
                  </c:pt>
                  <c:pt idx="18">
                    <c:v>Mouse</c:v>
                  </c:pt>
                  <c:pt idx="19">
                    <c:v>Table</c:v>
                  </c:pt>
                </c:lvl>
                <c:lvl>
                  <c:pt idx="0">
                    <c:v>East</c:v>
                  </c:pt>
                  <c:pt idx="5">
                    <c:v>North</c:v>
                  </c:pt>
                  <c:pt idx="10">
                    <c:v>South</c:v>
                  </c:pt>
                  <c:pt idx="15">
                    <c:v>West</c:v>
                  </c:pt>
                </c:lvl>
              </c:multiLvlStrCache>
            </c:multiLvlStrRef>
          </c:cat>
          <c:val>
            <c:numRef>
              <c:f>'Pivot_Data - 1'!$B$4:$B$28</c:f>
              <c:numCache>
                <c:formatCode>General</c:formatCode>
                <c:ptCount val="20"/>
                <c:pt idx="0">
                  <c:v>2900</c:v>
                </c:pt>
                <c:pt idx="1">
                  <c:v>4100</c:v>
                </c:pt>
                <c:pt idx="2">
                  <c:v>2500</c:v>
                </c:pt>
                <c:pt idx="3">
                  <c:v>11000</c:v>
                </c:pt>
                <c:pt idx="4">
                  <c:v>9600</c:v>
                </c:pt>
                <c:pt idx="5">
                  <c:v>3100</c:v>
                </c:pt>
                <c:pt idx="6">
                  <c:v>3400</c:v>
                </c:pt>
                <c:pt idx="7">
                  <c:v>3000</c:v>
                </c:pt>
                <c:pt idx="8">
                  <c:v>9000</c:v>
                </c:pt>
                <c:pt idx="9">
                  <c:v>8400</c:v>
                </c:pt>
                <c:pt idx="10">
                  <c:v>5400</c:v>
                </c:pt>
                <c:pt idx="11">
                  <c:v>9000</c:v>
                </c:pt>
                <c:pt idx="12">
                  <c:v>7600</c:v>
                </c:pt>
                <c:pt idx="13">
                  <c:v>2800</c:v>
                </c:pt>
                <c:pt idx="14">
                  <c:v>4900</c:v>
                </c:pt>
                <c:pt idx="15">
                  <c:v>5850</c:v>
                </c:pt>
                <c:pt idx="16">
                  <c:v>9000</c:v>
                </c:pt>
                <c:pt idx="17">
                  <c:v>6400</c:v>
                </c:pt>
                <c:pt idx="18">
                  <c:v>3200</c:v>
                </c:pt>
                <c:pt idx="19">
                  <c:v>3850</c:v>
                </c:pt>
              </c:numCache>
            </c:numRef>
          </c:val>
          <c:extLst>
            <c:ext xmlns:c16="http://schemas.microsoft.com/office/drawing/2014/chart" uri="{C3380CC4-5D6E-409C-BE32-E72D297353CC}">
              <c16:uniqueId val="{00000000-74E0-4762-BABE-ED84D823EC3E}"/>
            </c:ext>
          </c:extLst>
        </c:ser>
        <c:ser>
          <c:idx val="1"/>
          <c:order val="1"/>
          <c:tx>
            <c:strRef>
              <c:f>'Pivot_Data - 1'!$C$3</c:f>
              <c:strCache>
                <c:ptCount val="1"/>
                <c:pt idx="0">
                  <c:v>Sum of Profit = Sales - Cost</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'Pivot_Data - 1'!$A$4:$A$28</c:f>
              <c:multiLvlStrCache>
                <c:ptCount val="20"/>
                <c:lvl>
                  <c:pt idx="0">
                    <c:v>Chair</c:v>
                  </c:pt>
                  <c:pt idx="1">
                    <c:v>Headphones</c:v>
                  </c:pt>
                  <c:pt idx="2">
                    <c:v>Keyboard</c:v>
                  </c:pt>
                  <c:pt idx="3">
                    <c:v>Laptop</c:v>
                  </c:pt>
                  <c:pt idx="4">
                    <c:v>Sofa</c:v>
                  </c:pt>
                  <c:pt idx="5">
                    <c:v>Chair</c:v>
                  </c:pt>
                  <c:pt idx="6">
                    <c:v>Headphones</c:v>
                  </c:pt>
                  <c:pt idx="7">
                    <c:v>Keyboard</c:v>
                  </c:pt>
                  <c:pt idx="8">
                    <c:v>Laptop</c:v>
                  </c:pt>
                  <c:pt idx="9">
                    <c:v>Sofa</c:v>
                  </c:pt>
                  <c:pt idx="10">
                    <c:v>Desk</c:v>
                  </c:pt>
                  <c:pt idx="11">
                    <c:v>Mobile</c:v>
                  </c:pt>
                  <c:pt idx="12">
                    <c:v>Monitor</c:v>
                  </c:pt>
                  <c:pt idx="13">
                    <c:v>Mouse</c:v>
                  </c:pt>
                  <c:pt idx="14">
                    <c:v>Table</c:v>
                  </c:pt>
                  <c:pt idx="15">
                    <c:v>Desk</c:v>
                  </c:pt>
                  <c:pt idx="16">
                    <c:v>Mobile</c:v>
                  </c:pt>
                  <c:pt idx="17">
                    <c:v>Monitor</c:v>
                  </c:pt>
                  <c:pt idx="18">
                    <c:v>Mouse</c:v>
                  </c:pt>
                  <c:pt idx="19">
                    <c:v>Table</c:v>
                  </c:pt>
                </c:lvl>
                <c:lvl>
                  <c:pt idx="0">
                    <c:v>East</c:v>
                  </c:pt>
                  <c:pt idx="5">
                    <c:v>North</c:v>
                  </c:pt>
                  <c:pt idx="10">
                    <c:v>South</c:v>
                  </c:pt>
                  <c:pt idx="15">
                    <c:v>West</c:v>
                  </c:pt>
                </c:lvl>
              </c:multiLvlStrCache>
            </c:multiLvlStrRef>
          </c:cat>
          <c:val>
            <c:numRef>
              <c:f>'Pivot_Data - 1'!$C$4:$C$28</c:f>
              <c:numCache>
                <c:formatCode>General</c:formatCode>
                <c:ptCount val="20"/>
                <c:pt idx="0">
                  <c:v>1140</c:v>
                </c:pt>
                <c:pt idx="1">
                  <c:v>1640</c:v>
                </c:pt>
                <c:pt idx="2">
                  <c:v>875</c:v>
                </c:pt>
                <c:pt idx="3">
                  <c:v>2200</c:v>
                </c:pt>
                <c:pt idx="4">
                  <c:v>2400</c:v>
                </c:pt>
                <c:pt idx="5">
                  <c:v>1210</c:v>
                </c:pt>
                <c:pt idx="6">
                  <c:v>1360</c:v>
                </c:pt>
                <c:pt idx="7">
                  <c:v>1050</c:v>
                </c:pt>
                <c:pt idx="8">
                  <c:v>1800</c:v>
                </c:pt>
                <c:pt idx="9">
                  <c:v>2100</c:v>
                </c:pt>
                <c:pt idx="10">
                  <c:v>1500</c:v>
                </c:pt>
                <c:pt idx="11">
                  <c:v>2250</c:v>
                </c:pt>
                <c:pt idx="12">
                  <c:v>1710</c:v>
                </c:pt>
                <c:pt idx="13">
                  <c:v>1120</c:v>
                </c:pt>
                <c:pt idx="14">
                  <c:v>1400</c:v>
                </c:pt>
                <c:pt idx="15">
                  <c:v>1625</c:v>
                </c:pt>
                <c:pt idx="16">
                  <c:v>2250</c:v>
                </c:pt>
                <c:pt idx="17">
                  <c:v>1440</c:v>
                </c:pt>
                <c:pt idx="18">
                  <c:v>1280</c:v>
                </c:pt>
                <c:pt idx="19">
                  <c:v>1100</c:v>
                </c:pt>
              </c:numCache>
            </c:numRef>
          </c:val>
          <c:extLst>
            <c:ext xmlns:c16="http://schemas.microsoft.com/office/drawing/2014/chart" uri="{C3380CC4-5D6E-409C-BE32-E72D297353CC}">
              <c16:uniqueId val="{00000001-74E0-4762-BABE-ED84D823EC3E}"/>
            </c:ext>
          </c:extLst>
        </c:ser>
        <c:dLbls>
          <c:showLegendKey val="0"/>
          <c:showVal val="0"/>
          <c:showCatName val="0"/>
          <c:showSerName val="0"/>
          <c:showPercent val="0"/>
          <c:showBubbleSize val="0"/>
        </c:dLbls>
        <c:gapWidth val="100"/>
        <c:overlap val="-24"/>
        <c:axId val="905781391"/>
        <c:axId val="905790031"/>
      </c:barChart>
      <c:catAx>
        <c:axId val="905781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90031"/>
        <c:crosses val="autoZero"/>
        <c:auto val="1"/>
        <c:lblAlgn val="ctr"/>
        <c:lblOffset val="100"/>
        <c:noMultiLvlLbl val="0"/>
      </c:catAx>
      <c:valAx>
        <c:axId val="905790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8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 - 2!PivotTable2</c:name>
    <c:fmtId val="3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'Pivot_Data - 2'!$C$4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'Pivot_Data - 2'!$B$5:$B$9</c:f>
              <c:multiLvlStrCache>
                <c:ptCount val="3"/>
                <c:lvl>
                  <c:pt idx="0">
                    <c:v>Jan</c:v>
                  </c:pt>
                  <c:pt idx="1">
                    <c:v>Feb</c:v>
                  </c:pt>
                  <c:pt idx="2">
                    <c:v>Mar</c:v>
                  </c:pt>
                </c:lvl>
                <c:lvl>
                  <c:pt idx="0">
                    <c:v>2024</c:v>
                  </c:pt>
                </c:lvl>
              </c:multiLvlStrCache>
            </c:multiLvlStrRef>
          </c:cat>
          <c:val>
            <c:numRef>
              <c:f>'Pivot_Data - 2'!$C$5:$C$9</c:f>
              <c:numCache>
                <c:formatCode>General</c:formatCode>
                <c:ptCount val="3"/>
                <c:pt idx="0">
                  <c:v>24000</c:v>
                </c:pt>
                <c:pt idx="1">
                  <c:v>22000</c:v>
                </c:pt>
                <c:pt idx="2">
                  <c:v>24000</c:v>
                </c:pt>
              </c:numCache>
            </c:numRef>
          </c:val>
          <c:extLst>
            <c:ext xmlns:c16="http://schemas.microsoft.com/office/drawing/2014/chart" uri="{C3380CC4-5D6E-409C-BE32-E72D297353CC}">
              <c16:uniqueId val="{00000000-F437-4C49-BFA2-EB9E23E403B5}"/>
            </c:ext>
          </c:extLst>
        </c:ser>
        <c:dLbls>
          <c:showLegendKey val="0"/>
          <c:showVal val="0"/>
          <c:showCatName val="0"/>
          <c:showSerName val="0"/>
          <c:showPercent val="0"/>
          <c:showBubbleSize val="0"/>
        </c:dLbls>
        <c:axId val="905753071"/>
        <c:axId val="905769871"/>
      </c:areaChart>
      <c:catAx>
        <c:axId val="9057530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69871"/>
        <c:crosses val="autoZero"/>
        <c:auto val="1"/>
        <c:lblAlgn val="ctr"/>
        <c:lblOffset val="100"/>
        <c:noMultiLvlLbl val="0"/>
      </c:catAx>
      <c:valAx>
        <c:axId val="905769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530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 - 3!PivotTable4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'Pivot_Data - 3'!$D$5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C6-417D-81C6-17D437725F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C6-417D-81C6-17D437725F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'Pivot_Data - 3'!$C$6:$C$8</c:f>
              <c:strCache>
                <c:ptCount val="2"/>
                <c:pt idx="0">
                  <c:v>Electronics</c:v>
                </c:pt>
                <c:pt idx="1">
                  <c:v>Furniture</c:v>
                </c:pt>
              </c:strCache>
            </c:strRef>
          </c:cat>
          <c:val>
            <c:numRef>
              <c:f>'Pivot_Data - 3'!$D$6:$D$8</c:f>
              <c:numCache>
                <c:formatCode>General</c:formatCode>
                <c:ptCount val="2"/>
                <c:pt idx="0">
                  <c:v>71000</c:v>
                </c:pt>
                <c:pt idx="1">
                  <c:v>44000</c:v>
                </c:pt>
              </c:numCache>
            </c:numRef>
          </c:val>
          <c:extLst>
            <c:ext xmlns:c16="http://schemas.microsoft.com/office/drawing/2014/chart" uri="{C3380CC4-5D6E-409C-BE32-E72D297353CC}">
              <c16:uniqueId val="{00000004-E1C6-417D-81C6-17D437725F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 - 4!PivotTable3</c:name>
    <c:fmtId val="1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 - 4'!$D$5</c:f>
              <c:strCache>
                <c:ptCount val="1"/>
                <c:pt idx="0">
                  <c:v>Total</c:v>
                </c:pt>
              </c:strCache>
            </c:strRef>
          </c:tx>
          <c:spPr>
            <a:pattFill prst="ltUpDiag">
              <a:fgClr>
                <a:schemeClr val="accent1"/>
              </a:fgClr>
              <a:bgClr>
                <a:schemeClr val="lt1"/>
              </a:bgClr>
            </a:pattFill>
            <a:ln>
              <a:noFill/>
            </a:ln>
            <a:effectLst/>
          </c:spPr>
          <c:invertIfNegative val="0"/>
          <c:cat>
            <c:strRef>
              <c:f>'Pivot_Data - 4'!$C$6:$C$16</c:f>
              <c:strCache>
                <c:ptCount val="10"/>
                <c:pt idx="0">
                  <c:v>Chair</c:v>
                </c:pt>
                <c:pt idx="1">
                  <c:v>Desk</c:v>
                </c:pt>
                <c:pt idx="2">
                  <c:v>Headphones</c:v>
                </c:pt>
                <c:pt idx="3">
                  <c:v>Keyboard</c:v>
                </c:pt>
                <c:pt idx="4">
                  <c:v>Laptop</c:v>
                </c:pt>
                <c:pt idx="5">
                  <c:v>Mobile</c:v>
                </c:pt>
                <c:pt idx="6">
                  <c:v>Monitor</c:v>
                </c:pt>
                <c:pt idx="7">
                  <c:v>Mouse</c:v>
                </c:pt>
                <c:pt idx="8">
                  <c:v>Sofa</c:v>
                </c:pt>
                <c:pt idx="9">
                  <c:v>Table</c:v>
                </c:pt>
              </c:strCache>
            </c:strRef>
          </c:cat>
          <c:val>
            <c:numRef>
              <c:f>'Pivot_Data - 4'!$D$6:$D$16</c:f>
              <c:numCache>
                <c:formatCode>General</c:formatCode>
                <c:ptCount val="10"/>
                <c:pt idx="0">
                  <c:v>6000</c:v>
                </c:pt>
                <c:pt idx="1">
                  <c:v>11250</c:v>
                </c:pt>
                <c:pt idx="2">
                  <c:v>7500</c:v>
                </c:pt>
                <c:pt idx="3">
                  <c:v>5500</c:v>
                </c:pt>
                <c:pt idx="4">
                  <c:v>20000</c:v>
                </c:pt>
                <c:pt idx="5">
                  <c:v>18000</c:v>
                </c:pt>
                <c:pt idx="6">
                  <c:v>14000</c:v>
                </c:pt>
                <c:pt idx="7">
                  <c:v>6000</c:v>
                </c:pt>
                <c:pt idx="8">
                  <c:v>18000</c:v>
                </c:pt>
                <c:pt idx="9">
                  <c:v>8750</c:v>
                </c:pt>
              </c:numCache>
            </c:numRef>
          </c:val>
          <c:extLst>
            <c:ext xmlns:c16="http://schemas.microsoft.com/office/drawing/2014/chart" uri="{C3380CC4-5D6E-409C-BE32-E72D297353CC}">
              <c16:uniqueId val="{00000000-B3C4-4D1A-9013-855B8CA220AB}"/>
            </c:ext>
          </c:extLst>
        </c:ser>
        <c:dLbls>
          <c:showLegendKey val="0"/>
          <c:showVal val="0"/>
          <c:showCatName val="0"/>
          <c:showSerName val="0"/>
          <c:showPercent val="0"/>
          <c:showBubbleSize val="0"/>
        </c:dLbls>
        <c:gapWidth val="269"/>
        <c:overlap val="-20"/>
        <c:axId val="905802991"/>
        <c:axId val="905786671"/>
      </c:barChart>
      <c:catAx>
        <c:axId val="9058029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05786671"/>
        <c:crosses val="autoZero"/>
        <c:auto val="1"/>
        <c:lblAlgn val="ctr"/>
        <c:lblOffset val="100"/>
        <c:noMultiLvlLbl val="0"/>
      </c:catAx>
      <c:valAx>
        <c:axId val="90578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580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15240</xdr:colOff>
      <xdr:row>2</xdr:row>
      <xdr:rowOff>160020</xdr:rowOff>
    </xdr:from>
    <xdr:to>
      <xdr:col>11</xdr:col>
      <xdr:colOff>586740</xdr:colOff>
      <xdr:row>16</xdr:row>
      <xdr:rowOff>66675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8EAA4F7-3DFC-118E-2302-D8D3ACBF8D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508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137160</xdr:colOff>
      <xdr:row>2</xdr:row>
      <xdr:rowOff>160020</xdr:rowOff>
    </xdr:from>
    <xdr:to>
      <xdr:col>7</xdr:col>
      <xdr:colOff>396240</xdr:colOff>
      <xdr:row>16</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91FC84B1-D4FF-717D-99F8-4F517CA3F6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6626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701040</xdr:colOff>
      <xdr:row>2</xdr:row>
      <xdr:rowOff>152400</xdr:rowOff>
    </xdr:from>
    <xdr:to>
      <xdr:col>14</xdr:col>
      <xdr:colOff>571500</xdr:colOff>
      <xdr:row>16</xdr:row>
      <xdr:rowOff>59055</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6E274A20-F0A7-2A36-11EC-80E1FF70189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8298180" y="563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18</xdr:row>
      <xdr:rowOff>0</xdr:rowOff>
    </xdr:to>
    <xdr:graphicFrame macro="">
      <xdr:nvGraphicFramePr>
        <xdr:cNvPr id="2" name="Chart 1">
          <a:extLst>
            <a:ext uri="{FF2B5EF4-FFF2-40B4-BE49-F238E27FC236}">
              <a16:creationId xmlns:a16="http://schemas.microsoft.com/office/drawing/2014/main" id="{149ADA5E-CAAE-42EE-820E-A9EDEE176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19</xdr:col>
      <xdr:colOff>76200</xdr:colOff>
      <xdr:row>18</xdr:row>
      <xdr:rowOff>0</xdr:rowOff>
    </xdr:to>
    <xdr:graphicFrame macro="">
      <xdr:nvGraphicFramePr>
        <xdr:cNvPr id="3" name="Chart 2">
          <a:extLst>
            <a:ext uri="{FF2B5EF4-FFF2-40B4-BE49-F238E27FC236}">
              <a16:creationId xmlns:a16="http://schemas.microsoft.com/office/drawing/2014/main" id="{1030708E-6CF2-4A22-A41D-B624CE859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18</xdr:row>
      <xdr:rowOff>114300</xdr:rowOff>
    </xdr:from>
    <xdr:to>
      <xdr:col>8</xdr:col>
      <xdr:colOff>304800</xdr:colOff>
      <xdr:row>31</xdr:row>
      <xdr:rowOff>152400</xdr:rowOff>
    </xdr:to>
    <xdr:graphicFrame macro="">
      <xdr:nvGraphicFramePr>
        <xdr:cNvPr id="4" name="Chart 3">
          <a:extLst>
            <a:ext uri="{FF2B5EF4-FFF2-40B4-BE49-F238E27FC236}">
              <a16:creationId xmlns:a16="http://schemas.microsoft.com/office/drawing/2014/main" id="{143034AB-A3CA-4833-827C-0B87B8F47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571500</xdr:colOff>
      <xdr:row>18</xdr:row>
      <xdr:rowOff>121920</xdr:rowOff>
    </xdr:from>
    <xdr:to>
      <xdr:col>19</xdr:col>
      <xdr:colOff>76200</xdr:colOff>
      <xdr:row>32</xdr:row>
      <xdr:rowOff>60960</xdr:rowOff>
    </xdr:to>
    <xdr:graphicFrame macro="">
      <xdr:nvGraphicFramePr>
        <xdr:cNvPr id="5" name="Chart 4">
          <a:extLst>
            <a:ext uri="{FF2B5EF4-FFF2-40B4-BE49-F238E27FC236}">
              <a16:creationId xmlns:a16="http://schemas.microsoft.com/office/drawing/2014/main" id="{E22F8CC5-FEAD-4187-88AB-A2F466B75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hubrat1877@gmail.com" id="{89C6642E-6DFF-4D31-B146-3028D50931CC}" userId="baf90fbc90dfcb99"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krishna karri" refreshedDate="46036.357983333335" createdVersion="8" refreshedVersion="8" minRefreshableVersion="3" recordCount="150" xr:uid="{26EC812C-8BC7-4F15-BD8C-438CE2568218}">
  <cacheSource type="worksheet">
    <worksheetSource name="SalesTable"/>
  </cacheSource>
  <cacheFields count="12">
    <cacheField name="Order_ID" numFmtId="0">
      <sharedItems containsSemiMixedTypes="0" containsString="0" containsNumber="1" containsInteger="1" minValue="1001" maxValue="1150"/>
    </cacheField>
    <cacheField name="Date" numFmtId="14">
      <sharedItems containsSemiMixedTypes="0" containsNonDate="0" containsDate="1" containsString="0" minDate="2024-01-01T00:00:00" maxDate="2024-05-30T00:00:00" count="1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sharedItems>
      <fieldGroup par="11"/>
    </cacheField>
    <cacheField name="Region" numFmtId="0">
      <sharedItems count="4">
        <s v="East"/>
        <s v="West"/>
        <s v="North"/>
        <s v="South"/>
      </sharedItems>
    </cacheField>
    <cacheField name="Salesperson" numFmtId="0">
      <sharedItems count="4">
        <s v="Rahul"/>
        <s v="Priya"/>
        <s v="Amit"/>
        <s v="Neha"/>
      </sharedItems>
    </cacheField>
    <cacheField name="Product" numFmtId="0">
      <sharedItems count="10">
        <s v="Laptop"/>
        <s v="Mobile"/>
        <s v="Chair"/>
        <s v="Table"/>
        <s v="Headphones"/>
        <s v="Mouse"/>
        <s v="Keyboard"/>
        <s v="Monitor"/>
        <s v="Sofa"/>
        <s v="Desk"/>
      </sharedItems>
    </cacheField>
    <cacheField name="Category" numFmtId="0">
      <sharedItems count="2">
        <s v="Electronics"/>
        <s v="Furniture"/>
      </sharedItems>
    </cacheField>
    <cacheField name="Quantity" numFmtId="0">
      <sharedItems containsSemiMixedTypes="0" containsString="0" containsNumber="1" containsInteger="1" minValue="1" maxValue="10"/>
    </cacheField>
    <cacheField name="Sales" numFmtId="0">
      <sharedItems containsSemiMixedTypes="0" containsString="0" containsNumber="1" containsInteger="1" minValue="300" maxValue="2000"/>
    </cacheField>
    <cacheField name="Cost" numFmtId="0">
      <sharedItems containsSemiMixedTypes="0" containsString="0" containsNumber="1" containsInteger="1" minValue="180" maxValue="1600"/>
    </cacheField>
    <cacheField name="Profit = Sales - Cost" numFmtId="0">
      <sharedItems containsSemiMixedTypes="0" containsString="0" containsNumber="1" containsInteger="1" minValue="100" maxValue="450" count="15">
        <n v="200"/>
        <n v="150"/>
        <n v="120"/>
        <n v="140"/>
        <n v="180"/>
        <n v="300"/>
        <n v="250"/>
        <n v="450"/>
        <n v="100"/>
        <n v="160"/>
        <n v="105"/>
        <n v="400"/>
        <n v="240"/>
        <n v="270"/>
        <n v="125"/>
      </sharedItems>
    </cacheField>
    <cacheField name="Months (Date)" numFmtId="0" databaseField="0">
      <fieldGroup base="1">
        <rangePr groupBy="months" startDate="2024-01-01T00:00:00" endDate="2024-05-30T00:00:00"/>
        <groupItems count="14">
          <s v="&lt;01-01-2024"/>
          <s v="Jan"/>
          <s v="Feb"/>
          <s v="Mar"/>
          <s v="Apr"/>
          <s v="May"/>
          <s v="Jun"/>
          <s v="Jul"/>
          <s v="Aug"/>
          <s v="Sep"/>
          <s v="Oct"/>
          <s v="Nov"/>
          <s v="Dec"/>
          <s v="&gt;30-05-2024"/>
        </groupItems>
      </fieldGroup>
    </cacheField>
    <cacheField name="Years (Date)" numFmtId="0" databaseField="0">
      <fieldGroup base="1">
        <rangePr groupBy="years" startDate="2024-01-01T00:00:00" endDate="2024-05-30T00:00:00"/>
        <groupItems count="3">
          <s v="&lt;01-01-2024"/>
          <s v="2024"/>
          <s v="&gt;30-05-2024"/>
        </groupItems>
      </fieldGroup>
    </cacheField>
  </cacheFields>
  <extLst>
    <ext xmlns:x14="http://schemas.microsoft.com/office/spreadsheetml/2009/9/main" uri="{725AE2AE-9491-48be-B2B4-4EB974FC3084}">
      <x14:pivotCacheDefinition pivotCacheId="1787241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001"/>
    <x v="0"/>
    <x v="0"/>
    <x v="0"/>
    <x v="0"/>
    <x v="0"/>
    <n v="2"/>
    <n v="1000"/>
    <n v="800"/>
    <x v="0"/>
  </r>
  <r>
    <n v="1002"/>
    <x v="1"/>
    <x v="1"/>
    <x v="1"/>
    <x v="1"/>
    <x v="0"/>
    <n v="1"/>
    <n v="600"/>
    <n v="450"/>
    <x v="1"/>
  </r>
  <r>
    <n v="1003"/>
    <x v="2"/>
    <x v="2"/>
    <x v="2"/>
    <x v="2"/>
    <x v="1"/>
    <n v="4"/>
    <n v="400"/>
    <n v="250"/>
    <x v="1"/>
  </r>
  <r>
    <n v="1004"/>
    <x v="3"/>
    <x v="3"/>
    <x v="3"/>
    <x v="3"/>
    <x v="1"/>
    <n v="2"/>
    <n v="700"/>
    <n v="500"/>
    <x v="0"/>
  </r>
  <r>
    <n v="1005"/>
    <x v="4"/>
    <x v="0"/>
    <x v="0"/>
    <x v="4"/>
    <x v="0"/>
    <n v="5"/>
    <n v="500"/>
    <n v="300"/>
    <x v="0"/>
  </r>
  <r>
    <n v="1006"/>
    <x v="5"/>
    <x v="1"/>
    <x v="1"/>
    <x v="5"/>
    <x v="0"/>
    <n v="6"/>
    <n v="300"/>
    <n v="180"/>
    <x v="2"/>
  </r>
  <r>
    <n v="1007"/>
    <x v="6"/>
    <x v="2"/>
    <x v="2"/>
    <x v="6"/>
    <x v="0"/>
    <n v="4"/>
    <n v="400"/>
    <n v="260"/>
    <x v="3"/>
  </r>
  <r>
    <n v="1008"/>
    <x v="7"/>
    <x v="3"/>
    <x v="3"/>
    <x v="7"/>
    <x v="0"/>
    <n v="2"/>
    <n v="800"/>
    <n v="620"/>
    <x v="4"/>
  </r>
  <r>
    <n v="1009"/>
    <x v="8"/>
    <x v="0"/>
    <x v="0"/>
    <x v="8"/>
    <x v="1"/>
    <n v="1"/>
    <n v="1200"/>
    <n v="900"/>
    <x v="5"/>
  </r>
  <r>
    <n v="1010"/>
    <x v="9"/>
    <x v="1"/>
    <x v="1"/>
    <x v="9"/>
    <x v="1"/>
    <n v="2"/>
    <n v="900"/>
    <n v="650"/>
    <x v="6"/>
  </r>
  <r>
    <n v="1011"/>
    <x v="10"/>
    <x v="2"/>
    <x v="2"/>
    <x v="0"/>
    <x v="0"/>
    <n v="1"/>
    <n v="1000"/>
    <n v="800"/>
    <x v="0"/>
  </r>
  <r>
    <n v="1012"/>
    <x v="11"/>
    <x v="3"/>
    <x v="3"/>
    <x v="1"/>
    <x v="0"/>
    <n v="3"/>
    <n v="1800"/>
    <n v="1350"/>
    <x v="7"/>
  </r>
  <r>
    <n v="1013"/>
    <x v="12"/>
    <x v="0"/>
    <x v="0"/>
    <x v="2"/>
    <x v="1"/>
    <n v="5"/>
    <n v="500"/>
    <n v="300"/>
    <x v="0"/>
  </r>
  <r>
    <n v="1014"/>
    <x v="13"/>
    <x v="1"/>
    <x v="1"/>
    <x v="3"/>
    <x v="1"/>
    <n v="1"/>
    <n v="350"/>
    <n v="250"/>
    <x v="8"/>
  </r>
  <r>
    <n v="1015"/>
    <x v="14"/>
    <x v="2"/>
    <x v="2"/>
    <x v="4"/>
    <x v="0"/>
    <n v="4"/>
    <n v="400"/>
    <n v="240"/>
    <x v="9"/>
  </r>
  <r>
    <n v="1016"/>
    <x v="15"/>
    <x v="3"/>
    <x v="3"/>
    <x v="5"/>
    <x v="0"/>
    <n v="8"/>
    <n v="400"/>
    <n v="240"/>
    <x v="9"/>
  </r>
  <r>
    <n v="1017"/>
    <x v="16"/>
    <x v="0"/>
    <x v="0"/>
    <x v="6"/>
    <x v="0"/>
    <n v="3"/>
    <n v="300"/>
    <n v="195"/>
    <x v="10"/>
  </r>
  <r>
    <n v="1018"/>
    <x v="17"/>
    <x v="1"/>
    <x v="1"/>
    <x v="7"/>
    <x v="0"/>
    <n v="2"/>
    <n v="800"/>
    <n v="620"/>
    <x v="4"/>
  </r>
  <r>
    <n v="1019"/>
    <x v="18"/>
    <x v="2"/>
    <x v="2"/>
    <x v="8"/>
    <x v="1"/>
    <n v="1"/>
    <n v="1200"/>
    <n v="900"/>
    <x v="5"/>
  </r>
  <r>
    <n v="1020"/>
    <x v="19"/>
    <x v="3"/>
    <x v="3"/>
    <x v="9"/>
    <x v="1"/>
    <n v="2"/>
    <n v="900"/>
    <n v="650"/>
    <x v="6"/>
  </r>
  <r>
    <n v="1021"/>
    <x v="20"/>
    <x v="0"/>
    <x v="0"/>
    <x v="0"/>
    <x v="0"/>
    <n v="2"/>
    <n v="2000"/>
    <n v="1600"/>
    <x v="11"/>
  </r>
  <r>
    <n v="1022"/>
    <x v="21"/>
    <x v="1"/>
    <x v="1"/>
    <x v="1"/>
    <x v="0"/>
    <n v="2"/>
    <n v="1200"/>
    <n v="900"/>
    <x v="5"/>
  </r>
  <r>
    <n v="1023"/>
    <x v="22"/>
    <x v="2"/>
    <x v="2"/>
    <x v="2"/>
    <x v="1"/>
    <n v="3"/>
    <n v="300"/>
    <n v="180"/>
    <x v="2"/>
  </r>
  <r>
    <n v="1024"/>
    <x v="23"/>
    <x v="3"/>
    <x v="3"/>
    <x v="3"/>
    <x v="1"/>
    <n v="2"/>
    <n v="700"/>
    <n v="500"/>
    <x v="0"/>
  </r>
  <r>
    <n v="1025"/>
    <x v="24"/>
    <x v="0"/>
    <x v="0"/>
    <x v="4"/>
    <x v="0"/>
    <n v="6"/>
    <n v="600"/>
    <n v="360"/>
    <x v="12"/>
  </r>
  <r>
    <n v="1026"/>
    <x v="25"/>
    <x v="1"/>
    <x v="1"/>
    <x v="5"/>
    <x v="0"/>
    <n v="10"/>
    <n v="500"/>
    <n v="300"/>
    <x v="0"/>
  </r>
  <r>
    <n v="1027"/>
    <x v="26"/>
    <x v="2"/>
    <x v="2"/>
    <x v="6"/>
    <x v="0"/>
    <n v="4"/>
    <n v="400"/>
    <n v="260"/>
    <x v="3"/>
  </r>
  <r>
    <n v="1028"/>
    <x v="27"/>
    <x v="3"/>
    <x v="3"/>
    <x v="7"/>
    <x v="0"/>
    <n v="3"/>
    <n v="1200"/>
    <n v="930"/>
    <x v="13"/>
  </r>
  <r>
    <n v="1029"/>
    <x v="28"/>
    <x v="0"/>
    <x v="0"/>
    <x v="8"/>
    <x v="1"/>
    <n v="1"/>
    <n v="1200"/>
    <n v="900"/>
    <x v="5"/>
  </r>
  <r>
    <n v="1030"/>
    <x v="29"/>
    <x v="1"/>
    <x v="1"/>
    <x v="9"/>
    <x v="1"/>
    <n v="1"/>
    <n v="450"/>
    <n v="325"/>
    <x v="14"/>
  </r>
  <r>
    <n v="1031"/>
    <x v="30"/>
    <x v="2"/>
    <x v="2"/>
    <x v="0"/>
    <x v="0"/>
    <n v="2"/>
    <n v="1000"/>
    <n v="800"/>
    <x v="0"/>
  </r>
  <r>
    <n v="1032"/>
    <x v="31"/>
    <x v="3"/>
    <x v="3"/>
    <x v="1"/>
    <x v="0"/>
    <n v="1"/>
    <n v="600"/>
    <n v="450"/>
    <x v="1"/>
  </r>
  <r>
    <n v="1033"/>
    <x v="32"/>
    <x v="0"/>
    <x v="0"/>
    <x v="2"/>
    <x v="1"/>
    <n v="4"/>
    <n v="400"/>
    <n v="250"/>
    <x v="1"/>
  </r>
  <r>
    <n v="1034"/>
    <x v="33"/>
    <x v="1"/>
    <x v="1"/>
    <x v="3"/>
    <x v="1"/>
    <n v="2"/>
    <n v="700"/>
    <n v="500"/>
    <x v="0"/>
  </r>
  <r>
    <n v="1035"/>
    <x v="34"/>
    <x v="2"/>
    <x v="2"/>
    <x v="4"/>
    <x v="0"/>
    <n v="5"/>
    <n v="500"/>
    <n v="300"/>
    <x v="0"/>
  </r>
  <r>
    <n v="1036"/>
    <x v="35"/>
    <x v="3"/>
    <x v="3"/>
    <x v="5"/>
    <x v="0"/>
    <n v="6"/>
    <n v="300"/>
    <n v="180"/>
    <x v="2"/>
  </r>
  <r>
    <n v="1037"/>
    <x v="36"/>
    <x v="0"/>
    <x v="0"/>
    <x v="6"/>
    <x v="0"/>
    <n v="4"/>
    <n v="400"/>
    <n v="260"/>
    <x v="3"/>
  </r>
  <r>
    <n v="1038"/>
    <x v="37"/>
    <x v="1"/>
    <x v="1"/>
    <x v="7"/>
    <x v="0"/>
    <n v="2"/>
    <n v="800"/>
    <n v="620"/>
    <x v="4"/>
  </r>
  <r>
    <n v="1039"/>
    <x v="38"/>
    <x v="2"/>
    <x v="2"/>
    <x v="8"/>
    <x v="1"/>
    <n v="1"/>
    <n v="1200"/>
    <n v="900"/>
    <x v="5"/>
  </r>
  <r>
    <n v="1040"/>
    <x v="39"/>
    <x v="3"/>
    <x v="3"/>
    <x v="9"/>
    <x v="1"/>
    <n v="2"/>
    <n v="900"/>
    <n v="650"/>
    <x v="6"/>
  </r>
  <r>
    <n v="1041"/>
    <x v="40"/>
    <x v="0"/>
    <x v="0"/>
    <x v="0"/>
    <x v="0"/>
    <n v="1"/>
    <n v="1000"/>
    <n v="800"/>
    <x v="0"/>
  </r>
  <r>
    <n v="1042"/>
    <x v="41"/>
    <x v="1"/>
    <x v="1"/>
    <x v="1"/>
    <x v="0"/>
    <n v="3"/>
    <n v="1800"/>
    <n v="1350"/>
    <x v="7"/>
  </r>
  <r>
    <n v="1043"/>
    <x v="42"/>
    <x v="2"/>
    <x v="2"/>
    <x v="2"/>
    <x v="1"/>
    <n v="5"/>
    <n v="500"/>
    <n v="300"/>
    <x v="0"/>
  </r>
  <r>
    <n v="1044"/>
    <x v="43"/>
    <x v="3"/>
    <x v="3"/>
    <x v="3"/>
    <x v="1"/>
    <n v="1"/>
    <n v="350"/>
    <n v="250"/>
    <x v="8"/>
  </r>
  <r>
    <n v="1045"/>
    <x v="44"/>
    <x v="0"/>
    <x v="0"/>
    <x v="4"/>
    <x v="0"/>
    <n v="4"/>
    <n v="400"/>
    <n v="240"/>
    <x v="9"/>
  </r>
  <r>
    <n v="1046"/>
    <x v="45"/>
    <x v="1"/>
    <x v="1"/>
    <x v="5"/>
    <x v="0"/>
    <n v="8"/>
    <n v="400"/>
    <n v="240"/>
    <x v="9"/>
  </r>
  <r>
    <n v="1047"/>
    <x v="46"/>
    <x v="2"/>
    <x v="2"/>
    <x v="6"/>
    <x v="0"/>
    <n v="3"/>
    <n v="300"/>
    <n v="195"/>
    <x v="10"/>
  </r>
  <r>
    <n v="1048"/>
    <x v="47"/>
    <x v="3"/>
    <x v="3"/>
    <x v="7"/>
    <x v="0"/>
    <n v="2"/>
    <n v="800"/>
    <n v="620"/>
    <x v="4"/>
  </r>
  <r>
    <n v="1049"/>
    <x v="48"/>
    <x v="0"/>
    <x v="0"/>
    <x v="8"/>
    <x v="1"/>
    <n v="1"/>
    <n v="1200"/>
    <n v="900"/>
    <x v="5"/>
  </r>
  <r>
    <n v="1050"/>
    <x v="49"/>
    <x v="1"/>
    <x v="1"/>
    <x v="9"/>
    <x v="1"/>
    <n v="2"/>
    <n v="900"/>
    <n v="650"/>
    <x v="6"/>
  </r>
  <r>
    <n v="1051"/>
    <x v="50"/>
    <x v="2"/>
    <x v="2"/>
    <x v="0"/>
    <x v="0"/>
    <n v="2"/>
    <n v="2000"/>
    <n v="1600"/>
    <x v="11"/>
  </r>
  <r>
    <n v="1052"/>
    <x v="51"/>
    <x v="3"/>
    <x v="3"/>
    <x v="1"/>
    <x v="0"/>
    <n v="2"/>
    <n v="1200"/>
    <n v="900"/>
    <x v="5"/>
  </r>
  <r>
    <n v="1053"/>
    <x v="52"/>
    <x v="0"/>
    <x v="0"/>
    <x v="2"/>
    <x v="1"/>
    <n v="3"/>
    <n v="300"/>
    <n v="180"/>
    <x v="2"/>
  </r>
  <r>
    <n v="1054"/>
    <x v="53"/>
    <x v="1"/>
    <x v="1"/>
    <x v="3"/>
    <x v="1"/>
    <n v="2"/>
    <n v="700"/>
    <n v="500"/>
    <x v="0"/>
  </r>
  <r>
    <n v="1055"/>
    <x v="54"/>
    <x v="2"/>
    <x v="2"/>
    <x v="4"/>
    <x v="0"/>
    <n v="6"/>
    <n v="600"/>
    <n v="360"/>
    <x v="12"/>
  </r>
  <r>
    <n v="1056"/>
    <x v="55"/>
    <x v="3"/>
    <x v="3"/>
    <x v="5"/>
    <x v="0"/>
    <n v="10"/>
    <n v="500"/>
    <n v="300"/>
    <x v="0"/>
  </r>
  <r>
    <n v="1057"/>
    <x v="56"/>
    <x v="0"/>
    <x v="0"/>
    <x v="6"/>
    <x v="0"/>
    <n v="4"/>
    <n v="400"/>
    <n v="260"/>
    <x v="3"/>
  </r>
  <r>
    <n v="1058"/>
    <x v="57"/>
    <x v="1"/>
    <x v="1"/>
    <x v="7"/>
    <x v="0"/>
    <n v="3"/>
    <n v="1200"/>
    <n v="930"/>
    <x v="13"/>
  </r>
  <r>
    <n v="1059"/>
    <x v="58"/>
    <x v="2"/>
    <x v="2"/>
    <x v="8"/>
    <x v="1"/>
    <n v="1"/>
    <n v="1200"/>
    <n v="900"/>
    <x v="5"/>
  </r>
  <r>
    <n v="1060"/>
    <x v="59"/>
    <x v="3"/>
    <x v="3"/>
    <x v="9"/>
    <x v="1"/>
    <n v="1"/>
    <n v="450"/>
    <n v="325"/>
    <x v="14"/>
  </r>
  <r>
    <n v="1061"/>
    <x v="60"/>
    <x v="0"/>
    <x v="0"/>
    <x v="0"/>
    <x v="0"/>
    <n v="2"/>
    <n v="1000"/>
    <n v="800"/>
    <x v="0"/>
  </r>
  <r>
    <n v="1062"/>
    <x v="61"/>
    <x v="1"/>
    <x v="1"/>
    <x v="1"/>
    <x v="0"/>
    <n v="1"/>
    <n v="600"/>
    <n v="450"/>
    <x v="1"/>
  </r>
  <r>
    <n v="1063"/>
    <x v="62"/>
    <x v="2"/>
    <x v="2"/>
    <x v="2"/>
    <x v="1"/>
    <n v="4"/>
    <n v="400"/>
    <n v="250"/>
    <x v="1"/>
  </r>
  <r>
    <n v="1064"/>
    <x v="63"/>
    <x v="3"/>
    <x v="3"/>
    <x v="3"/>
    <x v="1"/>
    <n v="2"/>
    <n v="700"/>
    <n v="500"/>
    <x v="0"/>
  </r>
  <r>
    <n v="1065"/>
    <x v="64"/>
    <x v="0"/>
    <x v="0"/>
    <x v="4"/>
    <x v="0"/>
    <n v="5"/>
    <n v="500"/>
    <n v="300"/>
    <x v="0"/>
  </r>
  <r>
    <n v="1066"/>
    <x v="65"/>
    <x v="1"/>
    <x v="1"/>
    <x v="5"/>
    <x v="0"/>
    <n v="6"/>
    <n v="300"/>
    <n v="180"/>
    <x v="2"/>
  </r>
  <r>
    <n v="1067"/>
    <x v="66"/>
    <x v="2"/>
    <x v="2"/>
    <x v="6"/>
    <x v="0"/>
    <n v="4"/>
    <n v="400"/>
    <n v="260"/>
    <x v="3"/>
  </r>
  <r>
    <n v="1068"/>
    <x v="67"/>
    <x v="3"/>
    <x v="3"/>
    <x v="7"/>
    <x v="0"/>
    <n v="2"/>
    <n v="800"/>
    <n v="620"/>
    <x v="4"/>
  </r>
  <r>
    <n v="1069"/>
    <x v="68"/>
    <x v="0"/>
    <x v="0"/>
    <x v="8"/>
    <x v="1"/>
    <n v="1"/>
    <n v="1200"/>
    <n v="900"/>
    <x v="5"/>
  </r>
  <r>
    <n v="1070"/>
    <x v="69"/>
    <x v="1"/>
    <x v="1"/>
    <x v="9"/>
    <x v="1"/>
    <n v="2"/>
    <n v="900"/>
    <n v="650"/>
    <x v="6"/>
  </r>
  <r>
    <n v="1071"/>
    <x v="70"/>
    <x v="2"/>
    <x v="2"/>
    <x v="0"/>
    <x v="0"/>
    <n v="1"/>
    <n v="1000"/>
    <n v="800"/>
    <x v="0"/>
  </r>
  <r>
    <n v="1072"/>
    <x v="71"/>
    <x v="3"/>
    <x v="3"/>
    <x v="1"/>
    <x v="0"/>
    <n v="3"/>
    <n v="1800"/>
    <n v="1350"/>
    <x v="7"/>
  </r>
  <r>
    <n v="1073"/>
    <x v="72"/>
    <x v="0"/>
    <x v="0"/>
    <x v="2"/>
    <x v="1"/>
    <n v="5"/>
    <n v="500"/>
    <n v="300"/>
    <x v="0"/>
  </r>
  <r>
    <n v="1074"/>
    <x v="73"/>
    <x v="1"/>
    <x v="1"/>
    <x v="3"/>
    <x v="1"/>
    <n v="1"/>
    <n v="350"/>
    <n v="250"/>
    <x v="8"/>
  </r>
  <r>
    <n v="1075"/>
    <x v="74"/>
    <x v="2"/>
    <x v="2"/>
    <x v="4"/>
    <x v="0"/>
    <n v="4"/>
    <n v="400"/>
    <n v="240"/>
    <x v="9"/>
  </r>
  <r>
    <n v="1076"/>
    <x v="75"/>
    <x v="3"/>
    <x v="3"/>
    <x v="5"/>
    <x v="0"/>
    <n v="8"/>
    <n v="400"/>
    <n v="240"/>
    <x v="9"/>
  </r>
  <r>
    <n v="1077"/>
    <x v="76"/>
    <x v="0"/>
    <x v="0"/>
    <x v="6"/>
    <x v="0"/>
    <n v="3"/>
    <n v="300"/>
    <n v="195"/>
    <x v="10"/>
  </r>
  <r>
    <n v="1078"/>
    <x v="77"/>
    <x v="1"/>
    <x v="1"/>
    <x v="7"/>
    <x v="0"/>
    <n v="2"/>
    <n v="800"/>
    <n v="620"/>
    <x v="4"/>
  </r>
  <r>
    <n v="1079"/>
    <x v="78"/>
    <x v="2"/>
    <x v="2"/>
    <x v="8"/>
    <x v="1"/>
    <n v="1"/>
    <n v="1200"/>
    <n v="900"/>
    <x v="5"/>
  </r>
  <r>
    <n v="1080"/>
    <x v="79"/>
    <x v="3"/>
    <x v="3"/>
    <x v="9"/>
    <x v="1"/>
    <n v="2"/>
    <n v="900"/>
    <n v="650"/>
    <x v="6"/>
  </r>
  <r>
    <n v="1081"/>
    <x v="80"/>
    <x v="0"/>
    <x v="0"/>
    <x v="0"/>
    <x v="0"/>
    <n v="2"/>
    <n v="2000"/>
    <n v="1600"/>
    <x v="11"/>
  </r>
  <r>
    <n v="1082"/>
    <x v="81"/>
    <x v="1"/>
    <x v="1"/>
    <x v="1"/>
    <x v="0"/>
    <n v="2"/>
    <n v="1200"/>
    <n v="900"/>
    <x v="5"/>
  </r>
  <r>
    <n v="1083"/>
    <x v="82"/>
    <x v="2"/>
    <x v="2"/>
    <x v="2"/>
    <x v="1"/>
    <n v="3"/>
    <n v="300"/>
    <n v="180"/>
    <x v="2"/>
  </r>
  <r>
    <n v="1084"/>
    <x v="83"/>
    <x v="3"/>
    <x v="3"/>
    <x v="3"/>
    <x v="1"/>
    <n v="2"/>
    <n v="700"/>
    <n v="500"/>
    <x v="0"/>
  </r>
  <r>
    <n v="1085"/>
    <x v="84"/>
    <x v="0"/>
    <x v="0"/>
    <x v="4"/>
    <x v="0"/>
    <n v="6"/>
    <n v="600"/>
    <n v="360"/>
    <x v="12"/>
  </r>
  <r>
    <n v="1086"/>
    <x v="85"/>
    <x v="1"/>
    <x v="1"/>
    <x v="5"/>
    <x v="0"/>
    <n v="10"/>
    <n v="500"/>
    <n v="300"/>
    <x v="0"/>
  </r>
  <r>
    <n v="1087"/>
    <x v="86"/>
    <x v="2"/>
    <x v="2"/>
    <x v="6"/>
    <x v="0"/>
    <n v="4"/>
    <n v="400"/>
    <n v="260"/>
    <x v="3"/>
  </r>
  <r>
    <n v="1088"/>
    <x v="87"/>
    <x v="3"/>
    <x v="3"/>
    <x v="7"/>
    <x v="0"/>
    <n v="3"/>
    <n v="1200"/>
    <n v="930"/>
    <x v="13"/>
  </r>
  <r>
    <n v="1089"/>
    <x v="88"/>
    <x v="0"/>
    <x v="0"/>
    <x v="8"/>
    <x v="1"/>
    <n v="1"/>
    <n v="1200"/>
    <n v="900"/>
    <x v="5"/>
  </r>
  <r>
    <n v="1090"/>
    <x v="89"/>
    <x v="1"/>
    <x v="1"/>
    <x v="9"/>
    <x v="1"/>
    <n v="1"/>
    <n v="450"/>
    <n v="325"/>
    <x v="14"/>
  </r>
  <r>
    <n v="1091"/>
    <x v="90"/>
    <x v="2"/>
    <x v="2"/>
    <x v="0"/>
    <x v="0"/>
    <n v="2"/>
    <n v="1000"/>
    <n v="800"/>
    <x v="0"/>
  </r>
  <r>
    <n v="1092"/>
    <x v="91"/>
    <x v="3"/>
    <x v="3"/>
    <x v="1"/>
    <x v="0"/>
    <n v="1"/>
    <n v="600"/>
    <n v="450"/>
    <x v="1"/>
  </r>
  <r>
    <n v="1093"/>
    <x v="92"/>
    <x v="0"/>
    <x v="0"/>
    <x v="2"/>
    <x v="1"/>
    <n v="4"/>
    <n v="400"/>
    <n v="250"/>
    <x v="1"/>
  </r>
  <r>
    <n v="1094"/>
    <x v="93"/>
    <x v="1"/>
    <x v="1"/>
    <x v="3"/>
    <x v="1"/>
    <n v="2"/>
    <n v="700"/>
    <n v="500"/>
    <x v="0"/>
  </r>
  <r>
    <n v="1095"/>
    <x v="94"/>
    <x v="2"/>
    <x v="2"/>
    <x v="4"/>
    <x v="0"/>
    <n v="5"/>
    <n v="500"/>
    <n v="300"/>
    <x v="0"/>
  </r>
  <r>
    <n v="1096"/>
    <x v="95"/>
    <x v="3"/>
    <x v="3"/>
    <x v="5"/>
    <x v="0"/>
    <n v="6"/>
    <n v="300"/>
    <n v="180"/>
    <x v="2"/>
  </r>
  <r>
    <n v="1097"/>
    <x v="96"/>
    <x v="0"/>
    <x v="0"/>
    <x v="6"/>
    <x v="0"/>
    <n v="4"/>
    <n v="400"/>
    <n v="260"/>
    <x v="3"/>
  </r>
  <r>
    <n v="1098"/>
    <x v="97"/>
    <x v="1"/>
    <x v="1"/>
    <x v="7"/>
    <x v="0"/>
    <n v="2"/>
    <n v="800"/>
    <n v="620"/>
    <x v="4"/>
  </r>
  <r>
    <n v="1099"/>
    <x v="98"/>
    <x v="2"/>
    <x v="2"/>
    <x v="8"/>
    <x v="1"/>
    <n v="1"/>
    <n v="1200"/>
    <n v="900"/>
    <x v="5"/>
  </r>
  <r>
    <n v="1100"/>
    <x v="99"/>
    <x v="3"/>
    <x v="3"/>
    <x v="9"/>
    <x v="1"/>
    <n v="2"/>
    <n v="900"/>
    <n v="650"/>
    <x v="6"/>
  </r>
  <r>
    <n v="1101"/>
    <x v="100"/>
    <x v="0"/>
    <x v="0"/>
    <x v="0"/>
    <x v="0"/>
    <n v="1"/>
    <n v="1000"/>
    <n v="800"/>
    <x v="0"/>
  </r>
  <r>
    <n v="1102"/>
    <x v="101"/>
    <x v="1"/>
    <x v="1"/>
    <x v="1"/>
    <x v="0"/>
    <n v="3"/>
    <n v="1800"/>
    <n v="1350"/>
    <x v="7"/>
  </r>
  <r>
    <n v="1103"/>
    <x v="102"/>
    <x v="2"/>
    <x v="2"/>
    <x v="2"/>
    <x v="1"/>
    <n v="5"/>
    <n v="500"/>
    <n v="300"/>
    <x v="0"/>
  </r>
  <r>
    <n v="1104"/>
    <x v="103"/>
    <x v="3"/>
    <x v="3"/>
    <x v="3"/>
    <x v="1"/>
    <n v="1"/>
    <n v="350"/>
    <n v="250"/>
    <x v="8"/>
  </r>
  <r>
    <n v="1105"/>
    <x v="104"/>
    <x v="0"/>
    <x v="0"/>
    <x v="4"/>
    <x v="0"/>
    <n v="4"/>
    <n v="400"/>
    <n v="240"/>
    <x v="9"/>
  </r>
  <r>
    <n v="1106"/>
    <x v="105"/>
    <x v="1"/>
    <x v="1"/>
    <x v="5"/>
    <x v="0"/>
    <n v="8"/>
    <n v="400"/>
    <n v="240"/>
    <x v="9"/>
  </r>
  <r>
    <n v="1107"/>
    <x v="106"/>
    <x v="2"/>
    <x v="2"/>
    <x v="6"/>
    <x v="0"/>
    <n v="3"/>
    <n v="300"/>
    <n v="195"/>
    <x v="10"/>
  </r>
  <r>
    <n v="1108"/>
    <x v="107"/>
    <x v="3"/>
    <x v="3"/>
    <x v="7"/>
    <x v="0"/>
    <n v="2"/>
    <n v="800"/>
    <n v="620"/>
    <x v="4"/>
  </r>
  <r>
    <n v="1109"/>
    <x v="108"/>
    <x v="0"/>
    <x v="0"/>
    <x v="8"/>
    <x v="1"/>
    <n v="1"/>
    <n v="1200"/>
    <n v="900"/>
    <x v="5"/>
  </r>
  <r>
    <n v="1110"/>
    <x v="109"/>
    <x v="1"/>
    <x v="1"/>
    <x v="9"/>
    <x v="1"/>
    <n v="2"/>
    <n v="900"/>
    <n v="650"/>
    <x v="6"/>
  </r>
  <r>
    <n v="1111"/>
    <x v="110"/>
    <x v="2"/>
    <x v="2"/>
    <x v="0"/>
    <x v="0"/>
    <n v="2"/>
    <n v="2000"/>
    <n v="1600"/>
    <x v="11"/>
  </r>
  <r>
    <n v="1112"/>
    <x v="111"/>
    <x v="3"/>
    <x v="3"/>
    <x v="1"/>
    <x v="0"/>
    <n v="2"/>
    <n v="1200"/>
    <n v="900"/>
    <x v="5"/>
  </r>
  <r>
    <n v="1113"/>
    <x v="112"/>
    <x v="0"/>
    <x v="0"/>
    <x v="2"/>
    <x v="1"/>
    <n v="3"/>
    <n v="300"/>
    <n v="180"/>
    <x v="2"/>
  </r>
  <r>
    <n v="1114"/>
    <x v="113"/>
    <x v="1"/>
    <x v="1"/>
    <x v="3"/>
    <x v="1"/>
    <n v="2"/>
    <n v="700"/>
    <n v="500"/>
    <x v="0"/>
  </r>
  <r>
    <n v="1115"/>
    <x v="114"/>
    <x v="2"/>
    <x v="2"/>
    <x v="4"/>
    <x v="0"/>
    <n v="6"/>
    <n v="600"/>
    <n v="360"/>
    <x v="12"/>
  </r>
  <r>
    <n v="1116"/>
    <x v="115"/>
    <x v="3"/>
    <x v="3"/>
    <x v="5"/>
    <x v="0"/>
    <n v="10"/>
    <n v="500"/>
    <n v="300"/>
    <x v="0"/>
  </r>
  <r>
    <n v="1117"/>
    <x v="116"/>
    <x v="0"/>
    <x v="0"/>
    <x v="6"/>
    <x v="0"/>
    <n v="4"/>
    <n v="400"/>
    <n v="260"/>
    <x v="3"/>
  </r>
  <r>
    <n v="1118"/>
    <x v="117"/>
    <x v="1"/>
    <x v="1"/>
    <x v="7"/>
    <x v="0"/>
    <n v="3"/>
    <n v="1200"/>
    <n v="930"/>
    <x v="13"/>
  </r>
  <r>
    <n v="1119"/>
    <x v="118"/>
    <x v="2"/>
    <x v="2"/>
    <x v="8"/>
    <x v="1"/>
    <n v="1"/>
    <n v="1200"/>
    <n v="900"/>
    <x v="5"/>
  </r>
  <r>
    <n v="1120"/>
    <x v="119"/>
    <x v="3"/>
    <x v="3"/>
    <x v="9"/>
    <x v="1"/>
    <n v="1"/>
    <n v="450"/>
    <n v="325"/>
    <x v="14"/>
  </r>
  <r>
    <n v="1121"/>
    <x v="120"/>
    <x v="0"/>
    <x v="0"/>
    <x v="0"/>
    <x v="0"/>
    <n v="2"/>
    <n v="1000"/>
    <n v="800"/>
    <x v="0"/>
  </r>
  <r>
    <n v="1122"/>
    <x v="121"/>
    <x v="1"/>
    <x v="1"/>
    <x v="1"/>
    <x v="0"/>
    <n v="1"/>
    <n v="600"/>
    <n v="450"/>
    <x v="1"/>
  </r>
  <r>
    <n v="1123"/>
    <x v="122"/>
    <x v="2"/>
    <x v="2"/>
    <x v="2"/>
    <x v="1"/>
    <n v="4"/>
    <n v="400"/>
    <n v="250"/>
    <x v="1"/>
  </r>
  <r>
    <n v="1124"/>
    <x v="123"/>
    <x v="3"/>
    <x v="3"/>
    <x v="3"/>
    <x v="1"/>
    <n v="2"/>
    <n v="700"/>
    <n v="500"/>
    <x v="0"/>
  </r>
  <r>
    <n v="1125"/>
    <x v="124"/>
    <x v="0"/>
    <x v="0"/>
    <x v="4"/>
    <x v="0"/>
    <n v="5"/>
    <n v="500"/>
    <n v="300"/>
    <x v="0"/>
  </r>
  <r>
    <n v="1126"/>
    <x v="125"/>
    <x v="1"/>
    <x v="1"/>
    <x v="5"/>
    <x v="0"/>
    <n v="6"/>
    <n v="300"/>
    <n v="180"/>
    <x v="2"/>
  </r>
  <r>
    <n v="1127"/>
    <x v="126"/>
    <x v="2"/>
    <x v="2"/>
    <x v="6"/>
    <x v="0"/>
    <n v="4"/>
    <n v="400"/>
    <n v="260"/>
    <x v="3"/>
  </r>
  <r>
    <n v="1128"/>
    <x v="127"/>
    <x v="3"/>
    <x v="3"/>
    <x v="7"/>
    <x v="0"/>
    <n v="2"/>
    <n v="800"/>
    <n v="620"/>
    <x v="4"/>
  </r>
  <r>
    <n v="1129"/>
    <x v="128"/>
    <x v="0"/>
    <x v="0"/>
    <x v="8"/>
    <x v="1"/>
    <n v="1"/>
    <n v="1200"/>
    <n v="900"/>
    <x v="5"/>
  </r>
  <r>
    <n v="1130"/>
    <x v="129"/>
    <x v="1"/>
    <x v="1"/>
    <x v="9"/>
    <x v="1"/>
    <n v="2"/>
    <n v="900"/>
    <n v="650"/>
    <x v="6"/>
  </r>
  <r>
    <n v="1131"/>
    <x v="130"/>
    <x v="2"/>
    <x v="2"/>
    <x v="0"/>
    <x v="0"/>
    <n v="1"/>
    <n v="1000"/>
    <n v="800"/>
    <x v="0"/>
  </r>
  <r>
    <n v="1132"/>
    <x v="131"/>
    <x v="3"/>
    <x v="3"/>
    <x v="1"/>
    <x v="0"/>
    <n v="3"/>
    <n v="1800"/>
    <n v="1350"/>
    <x v="7"/>
  </r>
  <r>
    <n v="1133"/>
    <x v="132"/>
    <x v="0"/>
    <x v="0"/>
    <x v="2"/>
    <x v="1"/>
    <n v="5"/>
    <n v="500"/>
    <n v="300"/>
    <x v="0"/>
  </r>
  <r>
    <n v="1134"/>
    <x v="133"/>
    <x v="1"/>
    <x v="1"/>
    <x v="3"/>
    <x v="1"/>
    <n v="1"/>
    <n v="350"/>
    <n v="250"/>
    <x v="8"/>
  </r>
  <r>
    <n v="1135"/>
    <x v="134"/>
    <x v="2"/>
    <x v="2"/>
    <x v="4"/>
    <x v="0"/>
    <n v="4"/>
    <n v="400"/>
    <n v="240"/>
    <x v="9"/>
  </r>
  <r>
    <n v="1136"/>
    <x v="135"/>
    <x v="3"/>
    <x v="3"/>
    <x v="5"/>
    <x v="0"/>
    <n v="8"/>
    <n v="400"/>
    <n v="240"/>
    <x v="9"/>
  </r>
  <r>
    <n v="1137"/>
    <x v="136"/>
    <x v="0"/>
    <x v="0"/>
    <x v="6"/>
    <x v="0"/>
    <n v="3"/>
    <n v="300"/>
    <n v="195"/>
    <x v="10"/>
  </r>
  <r>
    <n v="1138"/>
    <x v="137"/>
    <x v="1"/>
    <x v="1"/>
    <x v="7"/>
    <x v="0"/>
    <n v="2"/>
    <n v="800"/>
    <n v="620"/>
    <x v="4"/>
  </r>
  <r>
    <n v="1139"/>
    <x v="138"/>
    <x v="2"/>
    <x v="2"/>
    <x v="8"/>
    <x v="1"/>
    <n v="1"/>
    <n v="1200"/>
    <n v="900"/>
    <x v="5"/>
  </r>
  <r>
    <n v="1140"/>
    <x v="139"/>
    <x v="3"/>
    <x v="3"/>
    <x v="9"/>
    <x v="1"/>
    <n v="2"/>
    <n v="900"/>
    <n v="650"/>
    <x v="6"/>
  </r>
  <r>
    <n v="1141"/>
    <x v="140"/>
    <x v="0"/>
    <x v="0"/>
    <x v="0"/>
    <x v="0"/>
    <n v="2"/>
    <n v="2000"/>
    <n v="1600"/>
    <x v="11"/>
  </r>
  <r>
    <n v="1142"/>
    <x v="141"/>
    <x v="1"/>
    <x v="1"/>
    <x v="1"/>
    <x v="0"/>
    <n v="2"/>
    <n v="1200"/>
    <n v="900"/>
    <x v="5"/>
  </r>
  <r>
    <n v="1143"/>
    <x v="142"/>
    <x v="2"/>
    <x v="2"/>
    <x v="2"/>
    <x v="1"/>
    <n v="3"/>
    <n v="300"/>
    <n v="180"/>
    <x v="2"/>
  </r>
  <r>
    <n v="1144"/>
    <x v="143"/>
    <x v="3"/>
    <x v="3"/>
    <x v="3"/>
    <x v="1"/>
    <n v="2"/>
    <n v="700"/>
    <n v="500"/>
    <x v="0"/>
  </r>
  <r>
    <n v="1145"/>
    <x v="144"/>
    <x v="0"/>
    <x v="0"/>
    <x v="4"/>
    <x v="0"/>
    <n v="6"/>
    <n v="600"/>
    <n v="360"/>
    <x v="12"/>
  </r>
  <r>
    <n v="1146"/>
    <x v="145"/>
    <x v="1"/>
    <x v="1"/>
    <x v="5"/>
    <x v="0"/>
    <n v="10"/>
    <n v="500"/>
    <n v="300"/>
    <x v="0"/>
  </r>
  <r>
    <n v="1147"/>
    <x v="146"/>
    <x v="2"/>
    <x v="2"/>
    <x v="6"/>
    <x v="0"/>
    <n v="4"/>
    <n v="400"/>
    <n v="260"/>
    <x v="3"/>
  </r>
  <r>
    <n v="1148"/>
    <x v="147"/>
    <x v="3"/>
    <x v="3"/>
    <x v="7"/>
    <x v="0"/>
    <n v="3"/>
    <n v="1200"/>
    <n v="930"/>
    <x v="13"/>
  </r>
  <r>
    <n v="1149"/>
    <x v="148"/>
    <x v="0"/>
    <x v="0"/>
    <x v="8"/>
    <x v="1"/>
    <n v="1"/>
    <n v="1200"/>
    <n v="900"/>
    <x v="5"/>
  </r>
  <r>
    <n v="1150"/>
    <x v="149"/>
    <x v="1"/>
    <x v="1"/>
    <x v="9"/>
    <x v="1"/>
    <n v="1"/>
    <n v="450"/>
    <n v="325"/>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1A5E2B-CD35-4969-B6B8-0580528F05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location ref="A3:C28" firstHeaderRow="0" firstDataRow="1" firstDataCol="1"/>
  <pivotFields count="12">
    <pivotField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5">
        <item x="0"/>
        <item x="2"/>
        <item x="3"/>
        <item x="1"/>
        <item t="default"/>
      </items>
    </pivotField>
    <pivotField showAll="0">
      <items count="5">
        <item x="2"/>
        <item x="3"/>
        <item x="1"/>
        <item x="0"/>
        <item t="default"/>
      </items>
    </pivotField>
    <pivotField axis="axisRow" showAll="0">
      <items count="11">
        <item x="2"/>
        <item x="9"/>
        <item x="4"/>
        <item x="6"/>
        <item x="0"/>
        <item x="1"/>
        <item x="7"/>
        <item x="5"/>
        <item x="8"/>
        <item x="3"/>
        <item t="default"/>
      </items>
    </pivotField>
    <pivotField showAll="0">
      <items count="3">
        <item x="0"/>
        <item x="1"/>
        <item t="default"/>
      </items>
    </pivotField>
    <pivotField showAll="0"/>
    <pivotField dataField="1" showAll="0"/>
    <pivotField showAll="0"/>
    <pivotField dataField="1" showAll="0">
      <items count="16">
        <item x="8"/>
        <item x="10"/>
        <item x="2"/>
        <item x="14"/>
        <item x="3"/>
        <item x="1"/>
        <item x="9"/>
        <item x="4"/>
        <item x="0"/>
        <item x="12"/>
        <item x="6"/>
        <item x="13"/>
        <item x="5"/>
        <item x="11"/>
        <item x="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2">
    <field x="2"/>
    <field x="4"/>
  </rowFields>
  <rowItems count="25">
    <i>
      <x/>
    </i>
    <i r="1">
      <x/>
    </i>
    <i r="1">
      <x v="2"/>
    </i>
    <i r="1">
      <x v="3"/>
    </i>
    <i r="1">
      <x v="4"/>
    </i>
    <i r="1">
      <x v="8"/>
    </i>
    <i>
      <x v="1"/>
    </i>
    <i r="1">
      <x/>
    </i>
    <i r="1">
      <x v="2"/>
    </i>
    <i r="1">
      <x v="3"/>
    </i>
    <i r="1">
      <x v="4"/>
    </i>
    <i r="1">
      <x v="8"/>
    </i>
    <i>
      <x v="2"/>
    </i>
    <i r="1">
      <x v="1"/>
    </i>
    <i r="1">
      <x v="5"/>
    </i>
    <i r="1">
      <x v="6"/>
    </i>
    <i r="1">
      <x v="7"/>
    </i>
    <i r="1">
      <x v="9"/>
    </i>
    <i>
      <x v="3"/>
    </i>
    <i r="1">
      <x v="1"/>
    </i>
    <i r="1">
      <x v="5"/>
    </i>
    <i r="1">
      <x v="6"/>
    </i>
    <i r="1">
      <x v="7"/>
    </i>
    <i r="1">
      <x v="9"/>
    </i>
    <i t="grand">
      <x/>
    </i>
  </rowItems>
  <colFields count="1">
    <field x="-2"/>
  </colFields>
  <colItems count="2">
    <i>
      <x/>
    </i>
    <i i="1">
      <x v="1"/>
    </i>
  </colItems>
  <dataFields count="2">
    <dataField name="Sum of Sales" fld="7" baseField="0" baseItem="0"/>
    <dataField name="Sum of Profit = Sales - Cost" fld="9" baseField="0" baseItem="0"/>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fieldPosition="0">
        <references count="2">
          <reference field="2" count="1" selected="0">
            <x v="0"/>
          </reference>
          <reference field="4" count="5">
            <x v="0"/>
            <x v="2"/>
            <x v="3"/>
            <x v="4"/>
            <x v="8"/>
          </reference>
        </references>
      </pivotArea>
    </format>
    <format dxfId="5">
      <pivotArea dataOnly="0" labelOnly="1" fieldPosition="0">
        <references count="2">
          <reference field="2" count="1" selected="0">
            <x v="1"/>
          </reference>
          <reference field="4" count="5">
            <x v="0"/>
            <x v="2"/>
            <x v="3"/>
            <x v="4"/>
            <x v="8"/>
          </reference>
        </references>
      </pivotArea>
    </format>
    <format dxfId="4">
      <pivotArea dataOnly="0" labelOnly="1" fieldPosition="0">
        <references count="2">
          <reference field="2" count="1" selected="0">
            <x v="2"/>
          </reference>
          <reference field="4" count="5">
            <x v="1"/>
            <x v="5"/>
            <x v="6"/>
            <x v="7"/>
            <x v="9"/>
          </reference>
        </references>
      </pivotArea>
    </format>
    <format dxfId="3">
      <pivotArea dataOnly="0" labelOnly="1" fieldPosition="0">
        <references count="2">
          <reference field="2" count="1" selected="0">
            <x v="3"/>
          </reference>
          <reference field="4" count="5">
            <x v="1"/>
            <x v="5"/>
            <x v="6"/>
            <x v="7"/>
            <x v="9"/>
          </reference>
        </references>
      </pivotArea>
    </format>
    <format dxfId="2">
      <pivotArea dataOnly="0" labelOnly="1" outline="0" fieldPosition="0">
        <references count="1">
          <reference field="4294967294" count="1">
            <x v="0"/>
          </reference>
        </references>
      </pivotArea>
    </format>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1"/>
          </reference>
        </references>
      </pivotArea>
    </format>
  </formats>
  <chartFormats count="2">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3EA57F-14BF-4CBF-A731-FD7B2AF86F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Monthly">
  <location ref="B4:C9" firstHeaderRow="1" firstDataRow="1" firstDataCol="1"/>
  <pivotFields count="12">
    <pivotField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5">
        <item x="0"/>
        <item x="2"/>
        <item x="3"/>
        <item x="1"/>
        <item t="default"/>
      </items>
    </pivotField>
    <pivotField showAll="0"/>
    <pivotField showAll="0"/>
    <pivotField showAll="0">
      <items count="3">
        <item x="0"/>
        <item x="1"/>
        <item t="default"/>
      </items>
    </pivotField>
    <pivotField showAll="0"/>
    <pivotField dataField="1" showAll="0"/>
    <pivotField showAll="0"/>
    <pivotField showAll="0"/>
    <pivotField axis="axisRow" showAll="0">
      <items count="15">
        <item h="1" x="0"/>
        <item x="1"/>
        <item x="2"/>
        <item x="3"/>
        <item h="1" x="4"/>
        <item h="1" x="5"/>
        <item h="1" x="6"/>
        <item h="1" x="7"/>
        <item h="1" x="8"/>
        <item h="1" x="9"/>
        <item h="1" x="10"/>
        <item h="1" x="11"/>
        <item h="1" x="12"/>
        <item h="1" x="13"/>
        <item t="default"/>
      </items>
    </pivotField>
    <pivotField axis="axisRow" showAll="0">
      <items count="4">
        <item x="0"/>
        <item x="1"/>
        <item x="2"/>
        <item t="default"/>
      </items>
    </pivotField>
  </pivotFields>
  <rowFields count="2">
    <field x="11"/>
    <field x="10"/>
  </rowFields>
  <rowItems count="5">
    <i>
      <x v="1"/>
    </i>
    <i r="1">
      <x v="1"/>
    </i>
    <i r="1">
      <x v="2"/>
    </i>
    <i r="1">
      <x v="3"/>
    </i>
    <i t="grand">
      <x/>
    </i>
  </rowItems>
  <colItems count="1">
    <i/>
  </colItems>
  <dataFields count="1">
    <dataField name="Sum of Sales" fld="7"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A6017-4EF1-464F-BCFD-CC9129D292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C5:D8" firstHeaderRow="1" firstDataRow="1" firstDataCol="1"/>
  <pivotFields count="12">
    <pivotField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5">
        <item x="0"/>
        <item x="2"/>
        <item x="3"/>
        <item x="1"/>
        <item t="default"/>
      </items>
    </pivotField>
    <pivotField showAll="0"/>
    <pivotField showAll="0"/>
    <pivotField axis="axisRow" showAll="0">
      <items count="3">
        <item x="0"/>
        <item x="1"/>
        <item t="default"/>
      </items>
    </pivotField>
    <pivotField showAll="0"/>
    <pivotField dataField="1" showAll="0"/>
    <pivotField showAll="0"/>
    <pivotField showAll="0"/>
    <pivotField showAll="0" defaultSubtotal="0"/>
    <pivotField showAll="0" defaultSubtotal="0">
      <items count="3">
        <item x="0"/>
        <item x="1"/>
        <item x="2"/>
      </items>
    </pivotField>
  </pivotFields>
  <rowFields count="1">
    <field x="5"/>
  </rowFields>
  <rowItems count="3">
    <i>
      <x/>
    </i>
    <i>
      <x v="1"/>
    </i>
    <i t="grand">
      <x/>
    </i>
  </rowItems>
  <colItems count="1">
    <i/>
  </colItems>
  <dataFields count="1">
    <dataField name="Sum of Sales" fld="7"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750725-C2F4-4761-9039-DCCD37F556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location ref="C5:D16" firstHeaderRow="1" firstDataRow="1" firstDataCol="1"/>
  <pivotFields count="12">
    <pivotField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5">
        <item x="0"/>
        <item x="2"/>
        <item x="3"/>
        <item x="1"/>
        <item t="default"/>
      </items>
    </pivotField>
    <pivotField showAll="0"/>
    <pivotField axis="axisRow" showAll="0">
      <items count="11">
        <item x="2"/>
        <item x="9"/>
        <item x="4"/>
        <item x="6"/>
        <item x="0"/>
        <item x="1"/>
        <item x="7"/>
        <item x="5"/>
        <item x="8"/>
        <item x="3"/>
        <item t="default"/>
      </items>
    </pivotField>
    <pivotField showAll="0">
      <items count="3">
        <item x="0"/>
        <item x="1"/>
        <item t="default"/>
      </items>
    </pivotField>
    <pivotField showAll="0"/>
    <pivotField dataField="1" showAll="0"/>
    <pivotField showAll="0"/>
    <pivotField showAll="0"/>
    <pivotField showAll="0" defaultSubtotal="0"/>
    <pivotField showAll="0" defaultSubtotal="0">
      <items count="3">
        <item x="0"/>
        <item x="1"/>
        <item x="2"/>
      </items>
    </pivotField>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9546ED-EF49-46BA-ABA3-3218AFD4DED5}" sourceName="Region">
  <pivotTables>
    <pivotTable tabId="3" name="PivotTable1"/>
    <pivotTable tabId="8" name="PivotTable2"/>
    <pivotTable tabId="11" name="PivotTable4"/>
    <pivotTable tabId="9" name="PivotTable3"/>
  </pivotTables>
  <data>
    <tabular pivotCacheId="178724195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95B627-E34D-4A75-BB04-16CC7C261BA3}" sourceName="Category">
  <pivotTables>
    <pivotTable tabId="3" name="PivotTable1"/>
    <pivotTable tabId="8" name="PivotTable2"/>
    <pivotTable tabId="11" name="PivotTable4"/>
    <pivotTable tabId="9" name="PivotTable3"/>
  </pivotTables>
  <data>
    <tabular pivotCacheId="178724195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926A304-7829-43D8-A8A4-7EF6E41F9332}" sourceName="Years (Date)">
  <pivotTables>
    <pivotTable tabId="3" name="PivotTable1"/>
    <pivotTable tabId="8" name="PivotTable2"/>
    <pivotTable tabId="11" name="PivotTable4"/>
    <pivotTable tabId="9" name="PivotTable3"/>
  </pivotTables>
  <data>
    <tabular pivotCacheId="1787241950">
      <items count="3">
        <i x="1" s="1"/>
        <i x="0"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568CCF-5FBA-4554-AEB6-C1262653F76C}" cache="Slicer_Region" caption="Region" rowHeight="234950"/>
  <slicer name="Category" xr10:uid="{11208FB7-2793-4DCF-9D21-EAED61BC7AE5}" cache="Slicer_Category" caption="Category" rowHeight="234950"/>
  <slicer name="Years (Date)" xr10:uid="{AA47A935-D0A3-49DA-9E21-A6186CB1BA39}"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E6634B-0E29-47F2-9733-25A378086251}" name="SalesTable" displayName="SalesTable" ref="C3:L153" totalsRowShown="0" headerRowDxfId="13">
  <autoFilter ref="C3:L153" xr:uid="{56E6634B-0E29-47F2-9733-25A378086251}"/>
  <tableColumns count="10">
    <tableColumn id="1" xr3:uid="{AF14116E-C8CB-4325-B08A-B5332B39562D}" name="Order_ID"/>
    <tableColumn id="2" xr3:uid="{F69B8780-F5E3-4A26-9948-34E3F245C3A1}" name="Date" dataDxfId="12"/>
    <tableColumn id="3" xr3:uid="{7826EE8D-1B9A-4715-9010-619ACA5FE8C7}" name="Region"/>
    <tableColumn id="4" xr3:uid="{7FDD804A-FCDA-4FE0-B346-2A64A04CDFC1}" name="Salesperson"/>
    <tableColumn id="5" xr3:uid="{04CE36A5-419F-409E-90EB-FF1368DF2D0B}" name="Product"/>
    <tableColumn id="6" xr3:uid="{FFFC69DC-9F17-45BE-925A-A50C05CF9BC1}" name="Category"/>
    <tableColumn id="7" xr3:uid="{8501580C-E470-4458-AB96-1BC00A7BB264}" name="Quantity"/>
    <tableColumn id="8" xr3:uid="{A6C38311-C1E5-498E-9A36-337BDD6D1AE1}" name="Sales"/>
    <tableColumn id="9" xr3:uid="{13F8901C-9FE9-4033-8CA1-8F3D5ED265A1}" name="Cost"/>
    <tableColumn id="10" xr3:uid="{052769D8-E123-4F66-BB1C-A7D08D0E8D4B}" name="Profit = Sales-Cost">
      <calculatedColumnFormula>J4-K4</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4" dT="2026-01-14T03:00:20.31" personId="{89C6642E-6DFF-4D31-B146-3028D50931CC}" id="{069BD688-BD8A-49ED-A924-11FBF7DFBE9C}">
    <text xml:space="preserve">J4-L4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C983-0687-4480-A2F9-EE600DB3D853}">
  <dimension ref="B1:L153"/>
  <sheetViews>
    <sheetView zoomScaleNormal="100" workbookViewId="0">
      <selection activeCell="M10" sqref="M10"/>
    </sheetView>
  </sheetViews>
  <sheetFormatPr defaultRowHeight="14.4" x14ac:dyDescent="0.3"/>
  <cols>
    <col min="1" max="1" width="10.44140625" customWidth="1"/>
    <col min="2" max="2" width="10.33203125" bestFit="1" customWidth="1"/>
    <col min="3" max="3" width="10.77734375" bestFit="1" customWidth="1"/>
    <col min="4" max="4" width="10.33203125" bestFit="1" customWidth="1"/>
    <col min="5" max="5" width="9" bestFit="1" customWidth="1"/>
    <col min="6" max="6" width="13.21875" bestFit="1" customWidth="1"/>
    <col min="7" max="7" width="10.21875" customWidth="1"/>
    <col min="8" max="8" width="10.77734375" bestFit="1" customWidth="1"/>
    <col min="9" max="9" width="10.5546875" bestFit="1" customWidth="1"/>
    <col min="10" max="10" width="7.44140625" bestFit="1" customWidth="1"/>
    <col min="11" max="11" width="6.88671875" bestFit="1" customWidth="1"/>
    <col min="12" max="12" width="18.44140625" bestFit="1" customWidth="1"/>
  </cols>
  <sheetData>
    <row r="1" spans="3:12" s="2" customFormat="1" x14ac:dyDescent="0.3"/>
    <row r="3" spans="3:12" x14ac:dyDescent="0.3">
      <c r="C3" s="2" t="s">
        <v>0</v>
      </c>
      <c r="D3" s="2" t="s">
        <v>1</v>
      </c>
      <c r="E3" s="2" t="s">
        <v>2</v>
      </c>
      <c r="F3" s="2" t="s">
        <v>3</v>
      </c>
      <c r="G3" s="2" t="s">
        <v>4</v>
      </c>
      <c r="H3" s="2" t="s">
        <v>5</v>
      </c>
      <c r="I3" s="2" t="s">
        <v>6</v>
      </c>
      <c r="J3" s="2" t="s">
        <v>7</v>
      </c>
      <c r="K3" s="2" t="s">
        <v>8</v>
      </c>
      <c r="L3" s="2" t="s">
        <v>32</v>
      </c>
    </row>
    <row r="4" spans="3:12" x14ac:dyDescent="0.3">
      <c r="C4">
        <v>1</v>
      </c>
      <c r="D4" s="1">
        <v>45292</v>
      </c>
      <c r="E4" t="s">
        <v>9</v>
      </c>
      <c r="F4" t="s">
        <v>13</v>
      </c>
      <c r="G4" t="s">
        <v>17</v>
      </c>
      <c r="H4" t="s">
        <v>27</v>
      </c>
      <c r="I4">
        <v>2</v>
      </c>
      <c r="J4">
        <v>1000</v>
      </c>
      <c r="K4">
        <v>800</v>
      </c>
      <c r="L4">
        <f t="shared" ref="L4:L35" si="0">J4-K4</f>
        <v>200</v>
      </c>
    </row>
    <row r="5" spans="3:12" x14ac:dyDescent="0.3">
      <c r="C5">
        <v>2</v>
      </c>
      <c r="D5" s="1">
        <v>45293</v>
      </c>
      <c r="E5" t="s">
        <v>10</v>
      </c>
      <c r="F5" t="s">
        <v>14</v>
      </c>
      <c r="G5" t="s">
        <v>18</v>
      </c>
      <c r="H5" t="s">
        <v>27</v>
      </c>
      <c r="I5">
        <v>1</v>
      </c>
      <c r="J5">
        <v>600</v>
      </c>
      <c r="K5">
        <v>450</v>
      </c>
      <c r="L5">
        <f t="shared" si="0"/>
        <v>150</v>
      </c>
    </row>
    <row r="6" spans="3:12" x14ac:dyDescent="0.3">
      <c r="C6">
        <v>3</v>
      </c>
      <c r="D6" s="1">
        <v>45294</v>
      </c>
      <c r="E6" t="s">
        <v>11</v>
      </c>
      <c r="F6" t="s">
        <v>15</v>
      </c>
      <c r="G6" t="s">
        <v>19</v>
      </c>
      <c r="H6" t="s">
        <v>28</v>
      </c>
      <c r="I6">
        <v>4</v>
      </c>
      <c r="J6">
        <v>400</v>
      </c>
      <c r="K6">
        <v>250</v>
      </c>
      <c r="L6">
        <f t="shared" si="0"/>
        <v>150</v>
      </c>
    </row>
    <row r="7" spans="3:12" x14ac:dyDescent="0.3">
      <c r="C7">
        <v>4</v>
      </c>
      <c r="D7" s="1">
        <v>45295</v>
      </c>
      <c r="E7" t="s">
        <v>12</v>
      </c>
      <c r="F7" t="s">
        <v>16</v>
      </c>
      <c r="G7" t="s">
        <v>20</v>
      </c>
      <c r="H7" t="s">
        <v>28</v>
      </c>
      <c r="I7">
        <v>2</v>
      </c>
      <c r="J7">
        <v>700</v>
      </c>
      <c r="K7">
        <v>500</v>
      </c>
      <c r="L7">
        <f t="shared" si="0"/>
        <v>200</v>
      </c>
    </row>
    <row r="8" spans="3:12" x14ac:dyDescent="0.3">
      <c r="C8">
        <v>5</v>
      </c>
      <c r="D8" s="1">
        <v>45296</v>
      </c>
      <c r="E8" t="s">
        <v>9</v>
      </c>
      <c r="F8" t="s">
        <v>13</v>
      </c>
      <c r="G8" t="s">
        <v>21</v>
      </c>
      <c r="H8" t="s">
        <v>27</v>
      </c>
      <c r="I8">
        <v>5</v>
      </c>
      <c r="J8">
        <v>500</v>
      </c>
      <c r="K8">
        <v>300</v>
      </c>
      <c r="L8">
        <f t="shared" si="0"/>
        <v>200</v>
      </c>
    </row>
    <row r="9" spans="3:12" x14ac:dyDescent="0.3">
      <c r="C9">
        <v>6</v>
      </c>
      <c r="D9" s="1">
        <v>45297</v>
      </c>
      <c r="E9" t="s">
        <v>10</v>
      </c>
      <c r="F9" t="s">
        <v>14</v>
      </c>
      <c r="G9" t="s">
        <v>22</v>
      </c>
      <c r="H9" t="s">
        <v>27</v>
      </c>
      <c r="I9">
        <v>6</v>
      </c>
      <c r="J9">
        <v>300</v>
      </c>
      <c r="K9">
        <v>180</v>
      </c>
      <c r="L9">
        <f t="shared" si="0"/>
        <v>120</v>
      </c>
    </row>
    <row r="10" spans="3:12" x14ac:dyDescent="0.3">
      <c r="C10">
        <v>7</v>
      </c>
      <c r="D10" s="1">
        <v>45298</v>
      </c>
      <c r="E10" t="s">
        <v>11</v>
      </c>
      <c r="F10" t="s">
        <v>15</v>
      </c>
      <c r="G10" t="s">
        <v>23</v>
      </c>
      <c r="H10" t="s">
        <v>27</v>
      </c>
      <c r="I10">
        <v>4</v>
      </c>
      <c r="J10">
        <v>400</v>
      </c>
      <c r="K10">
        <v>260</v>
      </c>
      <c r="L10">
        <f t="shared" si="0"/>
        <v>140</v>
      </c>
    </row>
    <row r="11" spans="3:12" x14ac:dyDescent="0.3">
      <c r="C11">
        <v>8</v>
      </c>
      <c r="D11" s="1">
        <v>45299</v>
      </c>
      <c r="E11" t="s">
        <v>12</v>
      </c>
      <c r="F11" t="s">
        <v>16</v>
      </c>
      <c r="G11" t="s">
        <v>24</v>
      </c>
      <c r="H11" t="s">
        <v>27</v>
      </c>
      <c r="I11">
        <v>2</v>
      </c>
      <c r="J11">
        <v>800</v>
      </c>
      <c r="K11">
        <v>620</v>
      </c>
      <c r="L11">
        <f t="shared" si="0"/>
        <v>180</v>
      </c>
    </row>
    <row r="12" spans="3:12" x14ac:dyDescent="0.3">
      <c r="C12">
        <v>9</v>
      </c>
      <c r="D12" s="1">
        <v>45300</v>
      </c>
      <c r="E12" t="s">
        <v>9</v>
      </c>
      <c r="F12" t="s">
        <v>13</v>
      </c>
      <c r="G12" t="s">
        <v>25</v>
      </c>
      <c r="H12" t="s">
        <v>28</v>
      </c>
      <c r="I12">
        <v>1</v>
      </c>
      <c r="J12">
        <v>1200</v>
      </c>
      <c r="K12">
        <v>900</v>
      </c>
      <c r="L12">
        <f t="shared" si="0"/>
        <v>300</v>
      </c>
    </row>
    <row r="13" spans="3:12" x14ac:dyDescent="0.3">
      <c r="C13">
        <v>10</v>
      </c>
      <c r="D13" s="1">
        <v>45301</v>
      </c>
      <c r="E13" t="s">
        <v>10</v>
      </c>
      <c r="F13" t="s">
        <v>14</v>
      </c>
      <c r="G13" t="s">
        <v>26</v>
      </c>
      <c r="H13" t="s">
        <v>28</v>
      </c>
      <c r="I13">
        <v>2</v>
      </c>
      <c r="J13">
        <v>900</v>
      </c>
      <c r="K13">
        <v>650</v>
      </c>
      <c r="L13">
        <f t="shared" si="0"/>
        <v>250</v>
      </c>
    </row>
    <row r="14" spans="3:12" x14ac:dyDescent="0.3">
      <c r="C14">
        <v>11</v>
      </c>
      <c r="D14" s="1">
        <v>45302</v>
      </c>
      <c r="E14" t="s">
        <v>11</v>
      </c>
      <c r="F14" t="s">
        <v>15</v>
      </c>
      <c r="G14" t="s">
        <v>17</v>
      </c>
      <c r="H14" t="s">
        <v>27</v>
      </c>
      <c r="I14">
        <v>1</v>
      </c>
      <c r="J14">
        <v>1000</v>
      </c>
      <c r="K14">
        <v>800</v>
      </c>
      <c r="L14">
        <f t="shared" si="0"/>
        <v>200</v>
      </c>
    </row>
    <row r="15" spans="3:12" x14ac:dyDescent="0.3">
      <c r="C15">
        <v>12</v>
      </c>
      <c r="D15" s="1">
        <v>45303</v>
      </c>
      <c r="E15" t="s">
        <v>12</v>
      </c>
      <c r="F15" t="s">
        <v>16</v>
      </c>
      <c r="G15" t="s">
        <v>18</v>
      </c>
      <c r="H15" t="s">
        <v>27</v>
      </c>
      <c r="I15">
        <v>3</v>
      </c>
      <c r="J15">
        <v>1800</v>
      </c>
      <c r="K15">
        <v>1350</v>
      </c>
      <c r="L15">
        <f t="shared" si="0"/>
        <v>450</v>
      </c>
    </row>
    <row r="16" spans="3:12" x14ac:dyDescent="0.3">
      <c r="C16">
        <v>13</v>
      </c>
      <c r="D16" s="1">
        <v>45304</v>
      </c>
      <c r="E16" t="s">
        <v>9</v>
      </c>
      <c r="F16" t="s">
        <v>13</v>
      </c>
      <c r="G16" t="s">
        <v>19</v>
      </c>
      <c r="H16" t="s">
        <v>28</v>
      </c>
      <c r="I16">
        <v>5</v>
      </c>
      <c r="J16">
        <v>500</v>
      </c>
      <c r="K16">
        <v>300</v>
      </c>
      <c r="L16">
        <f t="shared" si="0"/>
        <v>200</v>
      </c>
    </row>
    <row r="17" spans="3:12" x14ac:dyDescent="0.3">
      <c r="C17">
        <v>14</v>
      </c>
      <c r="D17" s="1">
        <v>45305</v>
      </c>
      <c r="E17" t="s">
        <v>10</v>
      </c>
      <c r="F17" t="s">
        <v>14</v>
      </c>
      <c r="G17" t="s">
        <v>20</v>
      </c>
      <c r="H17" t="s">
        <v>28</v>
      </c>
      <c r="I17">
        <v>1</v>
      </c>
      <c r="J17">
        <v>350</v>
      </c>
      <c r="K17">
        <v>250</v>
      </c>
      <c r="L17">
        <f t="shared" si="0"/>
        <v>100</v>
      </c>
    </row>
    <row r="18" spans="3:12" x14ac:dyDescent="0.3">
      <c r="C18">
        <v>15</v>
      </c>
      <c r="D18" s="1">
        <v>45306</v>
      </c>
      <c r="E18" t="s">
        <v>11</v>
      </c>
      <c r="F18" t="s">
        <v>15</v>
      </c>
      <c r="G18" t="s">
        <v>21</v>
      </c>
      <c r="H18" t="s">
        <v>27</v>
      </c>
      <c r="I18">
        <v>4</v>
      </c>
      <c r="J18">
        <v>400</v>
      </c>
      <c r="K18">
        <v>240</v>
      </c>
      <c r="L18">
        <f t="shared" si="0"/>
        <v>160</v>
      </c>
    </row>
    <row r="19" spans="3:12" x14ac:dyDescent="0.3">
      <c r="C19">
        <v>16</v>
      </c>
      <c r="D19" s="1">
        <v>45307</v>
      </c>
      <c r="E19" t="s">
        <v>12</v>
      </c>
      <c r="F19" t="s">
        <v>16</v>
      </c>
      <c r="G19" t="s">
        <v>22</v>
      </c>
      <c r="H19" t="s">
        <v>27</v>
      </c>
      <c r="I19">
        <v>8</v>
      </c>
      <c r="J19">
        <v>400</v>
      </c>
      <c r="K19">
        <v>240</v>
      </c>
      <c r="L19">
        <f t="shared" si="0"/>
        <v>160</v>
      </c>
    </row>
    <row r="20" spans="3:12" x14ac:dyDescent="0.3">
      <c r="C20">
        <v>17</v>
      </c>
      <c r="D20" s="1">
        <v>45308</v>
      </c>
      <c r="E20" t="s">
        <v>9</v>
      </c>
      <c r="F20" t="s">
        <v>13</v>
      </c>
      <c r="G20" t="s">
        <v>23</v>
      </c>
      <c r="H20" t="s">
        <v>27</v>
      </c>
      <c r="I20">
        <v>3</v>
      </c>
      <c r="J20">
        <v>300</v>
      </c>
      <c r="K20">
        <v>195</v>
      </c>
      <c r="L20">
        <f t="shared" si="0"/>
        <v>105</v>
      </c>
    </row>
    <row r="21" spans="3:12" x14ac:dyDescent="0.3">
      <c r="C21">
        <v>18</v>
      </c>
      <c r="D21" s="1">
        <v>45309</v>
      </c>
      <c r="E21" t="s">
        <v>10</v>
      </c>
      <c r="F21" t="s">
        <v>14</v>
      </c>
      <c r="G21" t="s">
        <v>24</v>
      </c>
      <c r="H21" t="s">
        <v>27</v>
      </c>
      <c r="I21">
        <v>2</v>
      </c>
      <c r="J21">
        <v>800</v>
      </c>
      <c r="K21">
        <v>620</v>
      </c>
      <c r="L21">
        <f t="shared" si="0"/>
        <v>180</v>
      </c>
    </row>
    <row r="22" spans="3:12" x14ac:dyDescent="0.3">
      <c r="C22">
        <v>19</v>
      </c>
      <c r="D22" s="1">
        <v>45310</v>
      </c>
      <c r="E22" t="s">
        <v>11</v>
      </c>
      <c r="F22" t="s">
        <v>15</v>
      </c>
      <c r="G22" t="s">
        <v>25</v>
      </c>
      <c r="H22" t="s">
        <v>28</v>
      </c>
      <c r="I22">
        <v>1</v>
      </c>
      <c r="J22">
        <v>1200</v>
      </c>
      <c r="K22">
        <v>900</v>
      </c>
      <c r="L22">
        <f t="shared" si="0"/>
        <v>300</v>
      </c>
    </row>
    <row r="23" spans="3:12" x14ac:dyDescent="0.3">
      <c r="C23">
        <v>20</v>
      </c>
      <c r="D23" s="1">
        <v>45311</v>
      </c>
      <c r="E23" t="s">
        <v>12</v>
      </c>
      <c r="F23" t="s">
        <v>16</v>
      </c>
      <c r="G23" t="s">
        <v>26</v>
      </c>
      <c r="H23" t="s">
        <v>28</v>
      </c>
      <c r="I23">
        <v>2</v>
      </c>
      <c r="J23">
        <v>900</v>
      </c>
      <c r="K23">
        <v>650</v>
      </c>
      <c r="L23">
        <f t="shared" si="0"/>
        <v>250</v>
      </c>
    </row>
    <row r="24" spans="3:12" x14ac:dyDescent="0.3">
      <c r="C24">
        <v>21</v>
      </c>
      <c r="D24" s="1">
        <v>45312</v>
      </c>
      <c r="E24" t="s">
        <v>9</v>
      </c>
      <c r="F24" t="s">
        <v>13</v>
      </c>
      <c r="G24" t="s">
        <v>17</v>
      </c>
      <c r="H24" t="s">
        <v>27</v>
      </c>
      <c r="I24">
        <v>2</v>
      </c>
      <c r="J24">
        <v>2000</v>
      </c>
      <c r="K24">
        <v>1600</v>
      </c>
      <c r="L24">
        <f t="shared" si="0"/>
        <v>400</v>
      </c>
    </row>
    <row r="25" spans="3:12" x14ac:dyDescent="0.3">
      <c r="C25">
        <v>22</v>
      </c>
      <c r="D25" s="1">
        <v>45313</v>
      </c>
      <c r="E25" t="s">
        <v>10</v>
      </c>
      <c r="F25" t="s">
        <v>14</v>
      </c>
      <c r="G25" t="s">
        <v>18</v>
      </c>
      <c r="H25" t="s">
        <v>27</v>
      </c>
      <c r="I25">
        <v>2</v>
      </c>
      <c r="J25">
        <v>1200</v>
      </c>
      <c r="K25">
        <v>900</v>
      </c>
      <c r="L25">
        <f t="shared" si="0"/>
        <v>300</v>
      </c>
    </row>
    <row r="26" spans="3:12" x14ac:dyDescent="0.3">
      <c r="C26">
        <v>23</v>
      </c>
      <c r="D26" s="1">
        <v>45314</v>
      </c>
      <c r="E26" t="s">
        <v>11</v>
      </c>
      <c r="F26" t="s">
        <v>15</v>
      </c>
      <c r="G26" t="s">
        <v>19</v>
      </c>
      <c r="H26" t="s">
        <v>28</v>
      </c>
      <c r="I26">
        <v>3</v>
      </c>
      <c r="J26">
        <v>300</v>
      </c>
      <c r="K26">
        <v>180</v>
      </c>
      <c r="L26">
        <f t="shared" si="0"/>
        <v>120</v>
      </c>
    </row>
    <row r="27" spans="3:12" x14ac:dyDescent="0.3">
      <c r="C27">
        <v>24</v>
      </c>
      <c r="D27" s="1">
        <v>45315</v>
      </c>
      <c r="E27" t="s">
        <v>12</v>
      </c>
      <c r="F27" t="s">
        <v>16</v>
      </c>
      <c r="G27" t="s">
        <v>20</v>
      </c>
      <c r="H27" t="s">
        <v>28</v>
      </c>
      <c r="I27">
        <v>2</v>
      </c>
      <c r="J27">
        <v>700</v>
      </c>
      <c r="K27">
        <v>500</v>
      </c>
      <c r="L27">
        <f t="shared" si="0"/>
        <v>200</v>
      </c>
    </row>
    <row r="28" spans="3:12" x14ac:dyDescent="0.3">
      <c r="C28">
        <v>25</v>
      </c>
      <c r="D28" s="1">
        <v>45316</v>
      </c>
      <c r="E28" t="s">
        <v>9</v>
      </c>
      <c r="F28" t="s">
        <v>13</v>
      </c>
      <c r="G28" t="s">
        <v>21</v>
      </c>
      <c r="H28" t="s">
        <v>27</v>
      </c>
      <c r="I28">
        <v>6</v>
      </c>
      <c r="J28">
        <v>600</v>
      </c>
      <c r="K28">
        <v>360</v>
      </c>
      <c r="L28">
        <f t="shared" si="0"/>
        <v>240</v>
      </c>
    </row>
    <row r="29" spans="3:12" x14ac:dyDescent="0.3">
      <c r="C29">
        <v>26</v>
      </c>
      <c r="D29" s="1">
        <v>45317</v>
      </c>
      <c r="E29" t="s">
        <v>10</v>
      </c>
      <c r="F29" t="s">
        <v>14</v>
      </c>
      <c r="G29" t="s">
        <v>22</v>
      </c>
      <c r="H29" t="s">
        <v>27</v>
      </c>
      <c r="I29">
        <v>10</v>
      </c>
      <c r="J29">
        <v>500</v>
      </c>
      <c r="K29">
        <v>300</v>
      </c>
      <c r="L29">
        <f t="shared" si="0"/>
        <v>200</v>
      </c>
    </row>
    <row r="30" spans="3:12" x14ac:dyDescent="0.3">
      <c r="C30">
        <v>27</v>
      </c>
      <c r="D30" s="1">
        <v>45318</v>
      </c>
      <c r="E30" t="s">
        <v>11</v>
      </c>
      <c r="F30" t="s">
        <v>15</v>
      </c>
      <c r="G30" t="s">
        <v>23</v>
      </c>
      <c r="H30" t="s">
        <v>27</v>
      </c>
      <c r="I30">
        <v>4</v>
      </c>
      <c r="J30">
        <v>400</v>
      </c>
      <c r="K30">
        <v>260</v>
      </c>
      <c r="L30">
        <f t="shared" si="0"/>
        <v>140</v>
      </c>
    </row>
    <row r="31" spans="3:12" x14ac:dyDescent="0.3">
      <c r="C31">
        <v>28</v>
      </c>
      <c r="D31" s="1">
        <v>45319</v>
      </c>
      <c r="E31" t="s">
        <v>12</v>
      </c>
      <c r="F31" t="s">
        <v>16</v>
      </c>
      <c r="G31" t="s">
        <v>24</v>
      </c>
      <c r="H31" t="s">
        <v>27</v>
      </c>
      <c r="I31">
        <v>3</v>
      </c>
      <c r="J31">
        <v>1200</v>
      </c>
      <c r="K31">
        <v>930</v>
      </c>
      <c r="L31">
        <f t="shared" si="0"/>
        <v>270</v>
      </c>
    </row>
    <row r="32" spans="3:12" x14ac:dyDescent="0.3">
      <c r="C32">
        <v>29</v>
      </c>
      <c r="D32" s="1">
        <v>45320</v>
      </c>
      <c r="E32" t="s">
        <v>9</v>
      </c>
      <c r="F32" t="s">
        <v>13</v>
      </c>
      <c r="G32" t="s">
        <v>25</v>
      </c>
      <c r="H32" t="s">
        <v>28</v>
      </c>
      <c r="I32">
        <v>1</v>
      </c>
      <c r="J32">
        <v>1200</v>
      </c>
      <c r="K32">
        <v>900</v>
      </c>
      <c r="L32">
        <f t="shared" si="0"/>
        <v>300</v>
      </c>
    </row>
    <row r="33" spans="3:12" x14ac:dyDescent="0.3">
      <c r="C33">
        <v>30</v>
      </c>
      <c r="D33" s="1">
        <v>45321</v>
      </c>
      <c r="E33" t="s">
        <v>10</v>
      </c>
      <c r="F33" t="s">
        <v>14</v>
      </c>
      <c r="G33" t="s">
        <v>26</v>
      </c>
      <c r="H33" t="s">
        <v>28</v>
      </c>
      <c r="I33">
        <v>1</v>
      </c>
      <c r="J33">
        <v>450</v>
      </c>
      <c r="K33">
        <v>325</v>
      </c>
      <c r="L33">
        <f t="shared" si="0"/>
        <v>125</v>
      </c>
    </row>
    <row r="34" spans="3:12" x14ac:dyDescent="0.3">
      <c r="C34">
        <v>31</v>
      </c>
      <c r="D34" s="1">
        <v>45322</v>
      </c>
      <c r="E34" t="s">
        <v>11</v>
      </c>
      <c r="F34" t="s">
        <v>15</v>
      </c>
      <c r="G34" t="s">
        <v>17</v>
      </c>
      <c r="H34" t="s">
        <v>27</v>
      </c>
      <c r="I34">
        <v>2</v>
      </c>
      <c r="J34">
        <v>1000</v>
      </c>
      <c r="K34">
        <v>800</v>
      </c>
      <c r="L34">
        <f t="shared" si="0"/>
        <v>200</v>
      </c>
    </row>
    <row r="35" spans="3:12" x14ac:dyDescent="0.3">
      <c r="C35">
        <v>32</v>
      </c>
      <c r="D35" s="1">
        <v>45323</v>
      </c>
      <c r="E35" t="s">
        <v>12</v>
      </c>
      <c r="F35" t="s">
        <v>16</v>
      </c>
      <c r="G35" t="s">
        <v>18</v>
      </c>
      <c r="H35" t="s">
        <v>27</v>
      </c>
      <c r="I35">
        <v>1</v>
      </c>
      <c r="J35">
        <v>600</v>
      </c>
      <c r="K35">
        <v>450</v>
      </c>
      <c r="L35">
        <f t="shared" si="0"/>
        <v>150</v>
      </c>
    </row>
    <row r="36" spans="3:12" x14ac:dyDescent="0.3">
      <c r="C36">
        <v>33</v>
      </c>
      <c r="D36" s="1">
        <v>45324</v>
      </c>
      <c r="E36" t="s">
        <v>9</v>
      </c>
      <c r="F36" t="s">
        <v>13</v>
      </c>
      <c r="G36" t="s">
        <v>19</v>
      </c>
      <c r="H36" t="s">
        <v>28</v>
      </c>
      <c r="I36">
        <v>4</v>
      </c>
      <c r="J36">
        <v>400</v>
      </c>
      <c r="K36">
        <v>250</v>
      </c>
      <c r="L36">
        <f t="shared" ref="L36:L67" si="1">J36-K36</f>
        <v>150</v>
      </c>
    </row>
    <row r="37" spans="3:12" x14ac:dyDescent="0.3">
      <c r="C37">
        <v>34</v>
      </c>
      <c r="D37" s="1">
        <v>45325</v>
      </c>
      <c r="E37" t="s">
        <v>10</v>
      </c>
      <c r="F37" t="s">
        <v>14</v>
      </c>
      <c r="G37" t="s">
        <v>20</v>
      </c>
      <c r="H37" t="s">
        <v>28</v>
      </c>
      <c r="I37">
        <v>2</v>
      </c>
      <c r="J37">
        <v>700</v>
      </c>
      <c r="K37">
        <v>500</v>
      </c>
      <c r="L37">
        <f t="shared" si="1"/>
        <v>200</v>
      </c>
    </row>
    <row r="38" spans="3:12" x14ac:dyDescent="0.3">
      <c r="C38">
        <v>35</v>
      </c>
      <c r="D38" s="1">
        <v>45326</v>
      </c>
      <c r="E38" t="s">
        <v>11</v>
      </c>
      <c r="F38" t="s">
        <v>15</v>
      </c>
      <c r="G38" t="s">
        <v>21</v>
      </c>
      <c r="H38" t="s">
        <v>27</v>
      </c>
      <c r="I38">
        <v>5</v>
      </c>
      <c r="J38">
        <v>500</v>
      </c>
      <c r="K38">
        <v>300</v>
      </c>
      <c r="L38">
        <f t="shared" si="1"/>
        <v>200</v>
      </c>
    </row>
    <row r="39" spans="3:12" x14ac:dyDescent="0.3">
      <c r="C39">
        <v>36</v>
      </c>
      <c r="D39" s="1">
        <v>45327</v>
      </c>
      <c r="E39" t="s">
        <v>12</v>
      </c>
      <c r="F39" t="s">
        <v>16</v>
      </c>
      <c r="G39" t="s">
        <v>22</v>
      </c>
      <c r="H39" t="s">
        <v>27</v>
      </c>
      <c r="I39">
        <v>6</v>
      </c>
      <c r="J39">
        <v>300</v>
      </c>
      <c r="K39">
        <v>180</v>
      </c>
      <c r="L39">
        <f t="shared" si="1"/>
        <v>120</v>
      </c>
    </row>
    <row r="40" spans="3:12" x14ac:dyDescent="0.3">
      <c r="C40">
        <v>37</v>
      </c>
      <c r="D40" s="1">
        <v>45328</v>
      </c>
      <c r="E40" t="s">
        <v>9</v>
      </c>
      <c r="F40" t="s">
        <v>13</v>
      </c>
      <c r="G40" t="s">
        <v>23</v>
      </c>
      <c r="H40" t="s">
        <v>27</v>
      </c>
      <c r="I40">
        <v>4</v>
      </c>
      <c r="J40">
        <v>400</v>
      </c>
      <c r="K40">
        <v>260</v>
      </c>
      <c r="L40">
        <f t="shared" si="1"/>
        <v>140</v>
      </c>
    </row>
    <row r="41" spans="3:12" x14ac:dyDescent="0.3">
      <c r="C41">
        <v>38</v>
      </c>
      <c r="D41" s="1">
        <v>45329</v>
      </c>
      <c r="E41" t="s">
        <v>10</v>
      </c>
      <c r="F41" t="s">
        <v>14</v>
      </c>
      <c r="G41" t="s">
        <v>24</v>
      </c>
      <c r="H41" t="s">
        <v>27</v>
      </c>
      <c r="I41">
        <v>2</v>
      </c>
      <c r="J41">
        <v>800</v>
      </c>
      <c r="K41">
        <v>620</v>
      </c>
      <c r="L41">
        <f t="shared" si="1"/>
        <v>180</v>
      </c>
    </row>
    <row r="42" spans="3:12" x14ac:dyDescent="0.3">
      <c r="C42">
        <v>39</v>
      </c>
      <c r="D42" s="1">
        <v>45330</v>
      </c>
      <c r="E42" t="s">
        <v>11</v>
      </c>
      <c r="F42" t="s">
        <v>15</v>
      </c>
      <c r="G42" t="s">
        <v>25</v>
      </c>
      <c r="H42" t="s">
        <v>28</v>
      </c>
      <c r="I42">
        <v>1</v>
      </c>
      <c r="J42">
        <v>1200</v>
      </c>
      <c r="K42">
        <v>900</v>
      </c>
      <c r="L42">
        <f t="shared" si="1"/>
        <v>300</v>
      </c>
    </row>
    <row r="43" spans="3:12" x14ac:dyDescent="0.3">
      <c r="C43">
        <v>40</v>
      </c>
      <c r="D43" s="1">
        <v>45331</v>
      </c>
      <c r="E43" t="s">
        <v>12</v>
      </c>
      <c r="F43" t="s">
        <v>16</v>
      </c>
      <c r="G43" t="s">
        <v>26</v>
      </c>
      <c r="H43" t="s">
        <v>28</v>
      </c>
      <c r="I43">
        <v>2</v>
      </c>
      <c r="J43">
        <v>900</v>
      </c>
      <c r="K43">
        <v>650</v>
      </c>
      <c r="L43">
        <f t="shared" si="1"/>
        <v>250</v>
      </c>
    </row>
    <row r="44" spans="3:12" x14ac:dyDescent="0.3">
      <c r="C44">
        <v>41</v>
      </c>
      <c r="D44" s="1">
        <v>45332</v>
      </c>
      <c r="E44" t="s">
        <v>9</v>
      </c>
      <c r="F44" t="s">
        <v>13</v>
      </c>
      <c r="G44" t="s">
        <v>17</v>
      </c>
      <c r="H44" t="s">
        <v>27</v>
      </c>
      <c r="I44">
        <v>1</v>
      </c>
      <c r="J44">
        <v>1000</v>
      </c>
      <c r="K44">
        <v>800</v>
      </c>
      <c r="L44">
        <f t="shared" si="1"/>
        <v>200</v>
      </c>
    </row>
    <row r="45" spans="3:12" x14ac:dyDescent="0.3">
      <c r="C45">
        <v>42</v>
      </c>
      <c r="D45" s="1">
        <v>45333</v>
      </c>
      <c r="E45" t="s">
        <v>10</v>
      </c>
      <c r="F45" t="s">
        <v>14</v>
      </c>
      <c r="G45" t="s">
        <v>18</v>
      </c>
      <c r="H45" t="s">
        <v>27</v>
      </c>
      <c r="I45">
        <v>3</v>
      </c>
      <c r="J45">
        <v>1800</v>
      </c>
      <c r="K45">
        <v>1350</v>
      </c>
      <c r="L45">
        <f t="shared" si="1"/>
        <v>450</v>
      </c>
    </row>
    <row r="46" spans="3:12" x14ac:dyDescent="0.3">
      <c r="C46">
        <v>43</v>
      </c>
      <c r="D46" s="1">
        <v>45334</v>
      </c>
      <c r="E46" t="s">
        <v>11</v>
      </c>
      <c r="F46" t="s">
        <v>15</v>
      </c>
      <c r="G46" t="s">
        <v>19</v>
      </c>
      <c r="H46" t="s">
        <v>28</v>
      </c>
      <c r="I46">
        <v>5</v>
      </c>
      <c r="J46">
        <v>500</v>
      </c>
      <c r="K46">
        <v>300</v>
      </c>
      <c r="L46">
        <f t="shared" si="1"/>
        <v>200</v>
      </c>
    </row>
    <row r="47" spans="3:12" x14ac:dyDescent="0.3">
      <c r="C47">
        <v>44</v>
      </c>
      <c r="D47" s="1">
        <v>45335</v>
      </c>
      <c r="E47" t="s">
        <v>12</v>
      </c>
      <c r="F47" t="s">
        <v>16</v>
      </c>
      <c r="G47" t="s">
        <v>20</v>
      </c>
      <c r="H47" t="s">
        <v>28</v>
      </c>
      <c r="I47">
        <v>1</v>
      </c>
      <c r="J47">
        <v>350</v>
      </c>
      <c r="K47">
        <v>250</v>
      </c>
      <c r="L47">
        <f t="shared" si="1"/>
        <v>100</v>
      </c>
    </row>
    <row r="48" spans="3:12" x14ac:dyDescent="0.3">
      <c r="C48">
        <v>45</v>
      </c>
      <c r="D48" s="1">
        <v>45336</v>
      </c>
      <c r="E48" t="s">
        <v>9</v>
      </c>
      <c r="F48" t="s">
        <v>13</v>
      </c>
      <c r="G48" t="s">
        <v>21</v>
      </c>
      <c r="H48" t="s">
        <v>27</v>
      </c>
      <c r="I48">
        <v>4</v>
      </c>
      <c r="J48">
        <v>400</v>
      </c>
      <c r="K48">
        <v>240</v>
      </c>
      <c r="L48">
        <f t="shared" si="1"/>
        <v>160</v>
      </c>
    </row>
    <row r="49" spans="3:12" x14ac:dyDescent="0.3">
      <c r="C49">
        <v>46</v>
      </c>
      <c r="D49" s="1">
        <v>45337</v>
      </c>
      <c r="E49" t="s">
        <v>10</v>
      </c>
      <c r="F49" t="s">
        <v>14</v>
      </c>
      <c r="G49" t="s">
        <v>22</v>
      </c>
      <c r="H49" t="s">
        <v>27</v>
      </c>
      <c r="I49">
        <v>8</v>
      </c>
      <c r="J49">
        <v>400</v>
      </c>
      <c r="K49">
        <v>240</v>
      </c>
      <c r="L49">
        <f t="shared" si="1"/>
        <v>160</v>
      </c>
    </row>
    <row r="50" spans="3:12" x14ac:dyDescent="0.3">
      <c r="C50">
        <v>47</v>
      </c>
      <c r="D50" s="1">
        <v>45338</v>
      </c>
      <c r="E50" t="s">
        <v>11</v>
      </c>
      <c r="F50" t="s">
        <v>15</v>
      </c>
      <c r="G50" t="s">
        <v>23</v>
      </c>
      <c r="H50" t="s">
        <v>27</v>
      </c>
      <c r="I50">
        <v>3</v>
      </c>
      <c r="J50">
        <v>300</v>
      </c>
      <c r="K50">
        <v>195</v>
      </c>
      <c r="L50">
        <f t="shared" si="1"/>
        <v>105</v>
      </c>
    </row>
    <row r="51" spans="3:12" x14ac:dyDescent="0.3">
      <c r="C51">
        <v>48</v>
      </c>
      <c r="D51" s="1">
        <v>45339</v>
      </c>
      <c r="E51" t="s">
        <v>12</v>
      </c>
      <c r="F51" t="s">
        <v>16</v>
      </c>
      <c r="G51" t="s">
        <v>24</v>
      </c>
      <c r="H51" t="s">
        <v>27</v>
      </c>
      <c r="I51">
        <v>2</v>
      </c>
      <c r="J51">
        <v>800</v>
      </c>
      <c r="K51">
        <v>620</v>
      </c>
      <c r="L51">
        <f t="shared" si="1"/>
        <v>180</v>
      </c>
    </row>
    <row r="52" spans="3:12" x14ac:dyDescent="0.3">
      <c r="C52">
        <v>49</v>
      </c>
      <c r="D52" s="1">
        <v>45340</v>
      </c>
      <c r="E52" t="s">
        <v>9</v>
      </c>
      <c r="F52" t="s">
        <v>13</v>
      </c>
      <c r="G52" t="s">
        <v>25</v>
      </c>
      <c r="H52" t="s">
        <v>28</v>
      </c>
      <c r="I52">
        <v>1</v>
      </c>
      <c r="J52">
        <v>1200</v>
      </c>
      <c r="K52">
        <v>900</v>
      </c>
      <c r="L52">
        <f t="shared" si="1"/>
        <v>300</v>
      </c>
    </row>
    <row r="53" spans="3:12" x14ac:dyDescent="0.3">
      <c r="C53">
        <v>50</v>
      </c>
      <c r="D53" s="1">
        <v>45341</v>
      </c>
      <c r="E53" t="s">
        <v>10</v>
      </c>
      <c r="F53" t="s">
        <v>14</v>
      </c>
      <c r="G53" t="s">
        <v>26</v>
      </c>
      <c r="H53" t="s">
        <v>28</v>
      </c>
      <c r="I53">
        <v>2</v>
      </c>
      <c r="J53">
        <v>900</v>
      </c>
      <c r="K53">
        <v>650</v>
      </c>
      <c r="L53">
        <f t="shared" si="1"/>
        <v>250</v>
      </c>
    </row>
    <row r="54" spans="3:12" x14ac:dyDescent="0.3">
      <c r="C54">
        <v>51</v>
      </c>
      <c r="D54" s="1">
        <v>45342</v>
      </c>
      <c r="E54" t="s">
        <v>11</v>
      </c>
      <c r="F54" t="s">
        <v>15</v>
      </c>
      <c r="G54" t="s">
        <v>17</v>
      </c>
      <c r="H54" t="s">
        <v>27</v>
      </c>
      <c r="I54">
        <v>2</v>
      </c>
      <c r="J54">
        <v>2000</v>
      </c>
      <c r="K54">
        <v>1600</v>
      </c>
      <c r="L54">
        <f t="shared" si="1"/>
        <v>400</v>
      </c>
    </row>
    <row r="55" spans="3:12" x14ac:dyDescent="0.3">
      <c r="C55">
        <v>52</v>
      </c>
      <c r="D55" s="1">
        <v>45343</v>
      </c>
      <c r="E55" t="s">
        <v>12</v>
      </c>
      <c r="F55" t="s">
        <v>16</v>
      </c>
      <c r="G55" t="s">
        <v>18</v>
      </c>
      <c r="H55" t="s">
        <v>27</v>
      </c>
      <c r="I55">
        <v>2</v>
      </c>
      <c r="J55">
        <v>1200</v>
      </c>
      <c r="K55">
        <v>900</v>
      </c>
      <c r="L55">
        <f t="shared" si="1"/>
        <v>300</v>
      </c>
    </row>
    <row r="56" spans="3:12" x14ac:dyDescent="0.3">
      <c r="C56">
        <v>53</v>
      </c>
      <c r="D56" s="1">
        <v>45344</v>
      </c>
      <c r="E56" t="s">
        <v>9</v>
      </c>
      <c r="F56" t="s">
        <v>13</v>
      </c>
      <c r="G56" t="s">
        <v>19</v>
      </c>
      <c r="H56" t="s">
        <v>28</v>
      </c>
      <c r="I56">
        <v>3</v>
      </c>
      <c r="J56">
        <v>300</v>
      </c>
      <c r="K56">
        <v>180</v>
      </c>
      <c r="L56">
        <f t="shared" si="1"/>
        <v>120</v>
      </c>
    </row>
    <row r="57" spans="3:12" x14ac:dyDescent="0.3">
      <c r="C57">
        <v>54</v>
      </c>
      <c r="D57" s="1">
        <v>45345</v>
      </c>
      <c r="E57" t="s">
        <v>10</v>
      </c>
      <c r="F57" t="s">
        <v>14</v>
      </c>
      <c r="G57" t="s">
        <v>20</v>
      </c>
      <c r="H57" t="s">
        <v>28</v>
      </c>
      <c r="I57">
        <v>2</v>
      </c>
      <c r="J57">
        <v>700</v>
      </c>
      <c r="K57">
        <v>500</v>
      </c>
      <c r="L57">
        <f t="shared" si="1"/>
        <v>200</v>
      </c>
    </row>
    <row r="58" spans="3:12" x14ac:dyDescent="0.3">
      <c r="C58">
        <v>55</v>
      </c>
      <c r="D58" s="1">
        <v>45346</v>
      </c>
      <c r="E58" t="s">
        <v>11</v>
      </c>
      <c r="F58" t="s">
        <v>15</v>
      </c>
      <c r="G58" t="s">
        <v>21</v>
      </c>
      <c r="H58" t="s">
        <v>27</v>
      </c>
      <c r="I58">
        <v>6</v>
      </c>
      <c r="J58">
        <v>600</v>
      </c>
      <c r="K58">
        <v>360</v>
      </c>
      <c r="L58">
        <f t="shared" si="1"/>
        <v>240</v>
      </c>
    </row>
    <row r="59" spans="3:12" x14ac:dyDescent="0.3">
      <c r="C59">
        <v>56</v>
      </c>
      <c r="D59" s="1">
        <v>45347</v>
      </c>
      <c r="E59" t="s">
        <v>12</v>
      </c>
      <c r="F59" t="s">
        <v>16</v>
      </c>
      <c r="G59" t="s">
        <v>22</v>
      </c>
      <c r="H59" t="s">
        <v>27</v>
      </c>
      <c r="I59">
        <v>10</v>
      </c>
      <c r="J59">
        <v>500</v>
      </c>
      <c r="K59">
        <v>300</v>
      </c>
      <c r="L59">
        <f t="shared" si="1"/>
        <v>200</v>
      </c>
    </row>
    <row r="60" spans="3:12" x14ac:dyDescent="0.3">
      <c r="C60">
        <v>57</v>
      </c>
      <c r="D60" s="1">
        <v>45348</v>
      </c>
      <c r="E60" t="s">
        <v>9</v>
      </c>
      <c r="F60" t="s">
        <v>13</v>
      </c>
      <c r="G60" t="s">
        <v>23</v>
      </c>
      <c r="H60" t="s">
        <v>27</v>
      </c>
      <c r="I60">
        <v>4</v>
      </c>
      <c r="J60">
        <v>400</v>
      </c>
      <c r="K60">
        <v>260</v>
      </c>
      <c r="L60">
        <f t="shared" si="1"/>
        <v>140</v>
      </c>
    </row>
    <row r="61" spans="3:12" x14ac:dyDescent="0.3">
      <c r="C61">
        <v>58</v>
      </c>
      <c r="D61" s="1">
        <v>45349</v>
      </c>
      <c r="E61" t="s">
        <v>10</v>
      </c>
      <c r="F61" t="s">
        <v>14</v>
      </c>
      <c r="G61" t="s">
        <v>24</v>
      </c>
      <c r="H61" t="s">
        <v>27</v>
      </c>
      <c r="I61">
        <v>3</v>
      </c>
      <c r="J61">
        <v>1200</v>
      </c>
      <c r="K61">
        <v>930</v>
      </c>
      <c r="L61">
        <f t="shared" si="1"/>
        <v>270</v>
      </c>
    </row>
    <row r="62" spans="3:12" x14ac:dyDescent="0.3">
      <c r="C62">
        <v>59</v>
      </c>
      <c r="D62" s="1">
        <v>45350</v>
      </c>
      <c r="E62" t="s">
        <v>11</v>
      </c>
      <c r="F62" t="s">
        <v>15</v>
      </c>
      <c r="G62" t="s">
        <v>25</v>
      </c>
      <c r="H62" t="s">
        <v>28</v>
      </c>
      <c r="I62">
        <v>1</v>
      </c>
      <c r="J62">
        <v>1200</v>
      </c>
      <c r="K62">
        <v>900</v>
      </c>
      <c r="L62">
        <f t="shared" si="1"/>
        <v>300</v>
      </c>
    </row>
    <row r="63" spans="3:12" x14ac:dyDescent="0.3">
      <c r="C63">
        <v>60</v>
      </c>
      <c r="D63" s="1">
        <v>45351</v>
      </c>
      <c r="E63" t="s">
        <v>12</v>
      </c>
      <c r="F63" t="s">
        <v>16</v>
      </c>
      <c r="G63" t="s">
        <v>26</v>
      </c>
      <c r="H63" t="s">
        <v>28</v>
      </c>
      <c r="I63">
        <v>1</v>
      </c>
      <c r="J63">
        <v>450</v>
      </c>
      <c r="K63">
        <v>325</v>
      </c>
      <c r="L63">
        <f t="shared" si="1"/>
        <v>125</v>
      </c>
    </row>
    <row r="64" spans="3:12" x14ac:dyDescent="0.3">
      <c r="C64">
        <v>61</v>
      </c>
      <c r="D64" s="1">
        <v>45352</v>
      </c>
      <c r="E64" t="s">
        <v>9</v>
      </c>
      <c r="F64" t="s">
        <v>13</v>
      </c>
      <c r="G64" t="s">
        <v>17</v>
      </c>
      <c r="H64" t="s">
        <v>27</v>
      </c>
      <c r="I64">
        <v>2</v>
      </c>
      <c r="J64">
        <v>1000</v>
      </c>
      <c r="K64">
        <v>800</v>
      </c>
      <c r="L64">
        <f t="shared" si="1"/>
        <v>200</v>
      </c>
    </row>
    <row r="65" spans="3:12" x14ac:dyDescent="0.3">
      <c r="C65">
        <v>62</v>
      </c>
      <c r="D65" s="1">
        <v>45353</v>
      </c>
      <c r="E65" t="s">
        <v>10</v>
      </c>
      <c r="F65" t="s">
        <v>14</v>
      </c>
      <c r="G65" t="s">
        <v>18</v>
      </c>
      <c r="H65" t="s">
        <v>27</v>
      </c>
      <c r="I65">
        <v>1</v>
      </c>
      <c r="J65">
        <v>600</v>
      </c>
      <c r="K65">
        <v>450</v>
      </c>
      <c r="L65">
        <f t="shared" si="1"/>
        <v>150</v>
      </c>
    </row>
    <row r="66" spans="3:12" x14ac:dyDescent="0.3">
      <c r="C66">
        <v>63</v>
      </c>
      <c r="D66" s="1">
        <v>45354</v>
      </c>
      <c r="E66" t="s">
        <v>11</v>
      </c>
      <c r="F66" t="s">
        <v>15</v>
      </c>
      <c r="G66" t="s">
        <v>19</v>
      </c>
      <c r="H66" t="s">
        <v>28</v>
      </c>
      <c r="I66">
        <v>4</v>
      </c>
      <c r="J66">
        <v>400</v>
      </c>
      <c r="K66">
        <v>250</v>
      </c>
      <c r="L66">
        <f t="shared" si="1"/>
        <v>150</v>
      </c>
    </row>
    <row r="67" spans="3:12" x14ac:dyDescent="0.3">
      <c r="C67">
        <v>64</v>
      </c>
      <c r="D67" s="1">
        <v>45355</v>
      </c>
      <c r="E67" t="s">
        <v>12</v>
      </c>
      <c r="F67" t="s">
        <v>16</v>
      </c>
      <c r="G67" t="s">
        <v>20</v>
      </c>
      <c r="H67" t="s">
        <v>28</v>
      </c>
      <c r="I67">
        <v>2</v>
      </c>
      <c r="J67">
        <v>700</v>
      </c>
      <c r="K67">
        <v>500</v>
      </c>
      <c r="L67">
        <f t="shared" si="1"/>
        <v>200</v>
      </c>
    </row>
    <row r="68" spans="3:12" x14ac:dyDescent="0.3">
      <c r="C68">
        <v>65</v>
      </c>
      <c r="D68" s="1">
        <v>45356</v>
      </c>
      <c r="E68" t="s">
        <v>9</v>
      </c>
      <c r="F68" t="s">
        <v>13</v>
      </c>
      <c r="G68" t="s">
        <v>21</v>
      </c>
      <c r="H68" t="s">
        <v>27</v>
      </c>
      <c r="I68">
        <v>5</v>
      </c>
      <c r="J68">
        <v>500</v>
      </c>
      <c r="K68">
        <v>300</v>
      </c>
      <c r="L68">
        <f t="shared" ref="L68:L99" si="2">J68-K68</f>
        <v>200</v>
      </c>
    </row>
    <row r="69" spans="3:12" x14ac:dyDescent="0.3">
      <c r="C69">
        <v>66</v>
      </c>
      <c r="D69" s="1">
        <v>45357</v>
      </c>
      <c r="E69" t="s">
        <v>10</v>
      </c>
      <c r="F69" t="s">
        <v>14</v>
      </c>
      <c r="G69" t="s">
        <v>22</v>
      </c>
      <c r="H69" t="s">
        <v>27</v>
      </c>
      <c r="I69">
        <v>6</v>
      </c>
      <c r="J69">
        <v>300</v>
      </c>
      <c r="K69">
        <v>180</v>
      </c>
      <c r="L69">
        <f t="shared" si="2"/>
        <v>120</v>
      </c>
    </row>
    <row r="70" spans="3:12" x14ac:dyDescent="0.3">
      <c r="C70">
        <v>67</v>
      </c>
      <c r="D70" s="1">
        <v>45358</v>
      </c>
      <c r="E70" t="s">
        <v>11</v>
      </c>
      <c r="F70" t="s">
        <v>15</v>
      </c>
      <c r="G70" t="s">
        <v>23</v>
      </c>
      <c r="H70" t="s">
        <v>27</v>
      </c>
      <c r="I70">
        <v>4</v>
      </c>
      <c r="J70">
        <v>400</v>
      </c>
      <c r="K70">
        <v>260</v>
      </c>
      <c r="L70">
        <f t="shared" si="2"/>
        <v>140</v>
      </c>
    </row>
    <row r="71" spans="3:12" x14ac:dyDescent="0.3">
      <c r="C71">
        <v>68</v>
      </c>
      <c r="D71" s="1">
        <v>45359</v>
      </c>
      <c r="E71" t="s">
        <v>12</v>
      </c>
      <c r="F71" t="s">
        <v>16</v>
      </c>
      <c r="G71" t="s">
        <v>24</v>
      </c>
      <c r="H71" t="s">
        <v>27</v>
      </c>
      <c r="I71">
        <v>2</v>
      </c>
      <c r="J71">
        <v>800</v>
      </c>
      <c r="K71">
        <v>620</v>
      </c>
      <c r="L71">
        <f t="shared" si="2"/>
        <v>180</v>
      </c>
    </row>
    <row r="72" spans="3:12" x14ac:dyDescent="0.3">
      <c r="C72">
        <v>69</v>
      </c>
      <c r="D72" s="1">
        <v>45360</v>
      </c>
      <c r="E72" t="s">
        <v>9</v>
      </c>
      <c r="F72" t="s">
        <v>13</v>
      </c>
      <c r="G72" t="s">
        <v>25</v>
      </c>
      <c r="H72" t="s">
        <v>28</v>
      </c>
      <c r="I72">
        <v>1</v>
      </c>
      <c r="J72">
        <v>1200</v>
      </c>
      <c r="K72">
        <v>900</v>
      </c>
      <c r="L72">
        <f t="shared" si="2"/>
        <v>300</v>
      </c>
    </row>
    <row r="73" spans="3:12" x14ac:dyDescent="0.3">
      <c r="C73">
        <v>70</v>
      </c>
      <c r="D73" s="1">
        <v>45361</v>
      </c>
      <c r="E73" t="s">
        <v>10</v>
      </c>
      <c r="F73" t="s">
        <v>14</v>
      </c>
      <c r="G73" t="s">
        <v>26</v>
      </c>
      <c r="H73" t="s">
        <v>28</v>
      </c>
      <c r="I73">
        <v>2</v>
      </c>
      <c r="J73">
        <v>900</v>
      </c>
      <c r="K73">
        <v>650</v>
      </c>
      <c r="L73">
        <f t="shared" si="2"/>
        <v>250</v>
      </c>
    </row>
    <row r="74" spans="3:12" x14ac:dyDescent="0.3">
      <c r="C74">
        <v>71</v>
      </c>
      <c r="D74" s="1">
        <v>45362</v>
      </c>
      <c r="E74" t="s">
        <v>11</v>
      </c>
      <c r="F74" t="s">
        <v>15</v>
      </c>
      <c r="G74" t="s">
        <v>17</v>
      </c>
      <c r="H74" t="s">
        <v>27</v>
      </c>
      <c r="I74">
        <v>1</v>
      </c>
      <c r="J74">
        <v>1000</v>
      </c>
      <c r="K74">
        <v>800</v>
      </c>
      <c r="L74">
        <f t="shared" si="2"/>
        <v>200</v>
      </c>
    </row>
    <row r="75" spans="3:12" x14ac:dyDescent="0.3">
      <c r="C75">
        <v>72</v>
      </c>
      <c r="D75" s="1">
        <v>45363</v>
      </c>
      <c r="E75" t="s">
        <v>12</v>
      </c>
      <c r="F75" t="s">
        <v>16</v>
      </c>
      <c r="G75" t="s">
        <v>18</v>
      </c>
      <c r="H75" t="s">
        <v>27</v>
      </c>
      <c r="I75">
        <v>3</v>
      </c>
      <c r="J75">
        <v>1800</v>
      </c>
      <c r="K75">
        <v>1350</v>
      </c>
      <c r="L75">
        <f t="shared" si="2"/>
        <v>450</v>
      </c>
    </row>
    <row r="76" spans="3:12" x14ac:dyDescent="0.3">
      <c r="C76">
        <v>73</v>
      </c>
      <c r="D76" s="1">
        <v>45364</v>
      </c>
      <c r="E76" t="s">
        <v>9</v>
      </c>
      <c r="F76" t="s">
        <v>13</v>
      </c>
      <c r="G76" t="s">
        <v>19</v>
      </c>
      <c r="H76" t="s">
        <v>28</v>
      </c>
      <c r="I76">
        <v>5</v>
      </c>
      <c r="J76">
        <v>500</v>
      </c>
      <c r="K76">
        <v>300</v>
      </c>
      <c r="L76">
        <f t="shared" si="2"/>
        <v>200</v>
      </c>
    </row>
    <row r="77" spans="3:12" x14ac:dyDescent="0.3">
      <c r="C77">
        <v>74</v>
      </c>
      <c r="D77" s="1">
        <v>45365</v>
      </c>
      <c r="E77" t="s">
        <v>10</v>
      </c>
      <c r="F77" t="s">
        <v>14</v>
      </c>
      <c r="G77" t="s">
        <v>20</v>
      </c>
      <c r="H77" t="s">
        <v>28</v>
      </c>
      <c r="I77">
        <v>1</v>
      </c>
      <c r="J77">
        <v>350</v>
      </c>
      <c r="K77">
        <v>250</v>
      </c>
      <c r="L77">
        <f t="shared" si="2"/>
        <v>100</v>
      </c>
    </row>
    <row r="78" spans="3:12" x14ac:dyDescent="0.3">
      <c r="C78">
        <v>75</v>
      </c>
      <c r="D78" s="1">
        <v>45366</v>
      </c>
      <c r="E78" t="s">
        <v>11</v>
      </c>
      <c r="F78" t="s">
        <v>15</v>
      </c>
      <c r="G78" t="s">
        <v>21</v>
      </c>
      <c r="H78" t="s">
        <v>27</v>
      </c>
      <c r="I78">
        <v>4</v>
      </c>
      <c r="J78">
        <v>400</v>
      </c>
      <c r="K78">
        <v>240</v>
      </c>
      <c r="L78">
        <f t="shared" si="2"/>
        <v>160</v>
      </c>
    </row>
    <row r="79" spans="3:12" x14ac:dyDescent="0.3">
      <c r="C79">
        <v>76</v>
      </c>
      <c r="D79" s="1">
        <v>45367</v>
      </c>
      <c r="E79" t="s">
        <v>12</v>
      </c>
      <c r="F79" t="s">
        <v>16</v>
      </c>
      <c r="G79" t="s">
        <v>22</v>
      </c>
      <c r="H79" t="s">
        <v>27</v>
      </c>
      <c r="I79">
        <v>8</v>
      </c>
      <c r="J79">
        <v>400</v>
      </c>
      <c r="K79">
        <v>240</v>
      </c>
      <c r="L79">
        <f t="shared" si="2"/>
        <v>160</v>
      </c>
    </row>
    <row r="80" spans="3:12" x14ac:dyDescent="0.3">
      <c r="C80">
        <v>77</v>
      </c>
      <c r="D80" s="1">
        <v>45368</v>
      </c>
      <c r="E80" t="s">
        <v>9</v>
      </c>
      <c r="F80" t="s">
        <v>13</v>
      </c>
      <c r="G80" t="s">
        <v>23</v>
      </c>
      <c r="H80" t="s">
        <v>27</v>
      </c>
      <c r="I80">
        <v>3</v>
      </c>
      <c r="J80">
        <v>300</v>
      </c>
      <c r="K80">
        <v>195</v>
      </c>
      <c r="L80">
        <f t="shared" si="2"/>
        <v>105</v>
      </c>
    </row>
    <row r="81" spans="3:12" x14ac:dyDescent="0.3">
      <c r="C81">
        <v>78</v>
      </c>
      <c r="D81" s="1">
        <v>45369</v>
      </c>
      <c r="E81" t="s">
        <v>10</v>
      </c>
      <c r="F81" t="s">
        <v>14</v>
      </c>
      <c r="G81" t="s">
        <v>24</v>
      </c>
      <c r="H81" t="s">
        <v>27</v>
      </c>
      <c r="I81">
        <v>2</v>
      </c>
      <c r="J81">
        <v>800</v>
      </c>
      <c r="K81">
        <v>620</v>
      </c>
      <c r="L81">
        <f t="shared" si="2"/>
        <v>180</v>
      </c>
    </row>
    <row r="82" spans="3:12" x14ac:dyDescent="0.3">
      <c r="C82">
        <v>79</v>
      </c>
      <c r="D82" s="1">
        <v>45370</v>
      </c>
      <c r="E82" t="s">
        <v>11</v>
      </c>
      <c r="F82" t="s">
        <v>15</v>
      </c>
      <c r="G82" t="s">
        <v>25</v>
      </c>
      <c r="H82" t="s">
        <v>28</v>
      </c>
      <c r="I82">
        <v>1</v>
      </c>
      <c r="J82">
        <v>1200</v>
      </c>
      <c r="K82">
        <v>900</v>
      </c>
      <c r="L82">
        <f t="shared" si="2"/>
        <v>300</v>
      </c>
    </row>
    <row r="83" spans="3:12" x14ac:dyDescent="0.3">
      <c r="C83">
        <v>80</v>
      </c>
      <c r="D83" s="1">
        <v>45371</v>
      </c>
      <c r="E83" t="s">
        <v>12</v>
      </c>
      <c r="F83" t="s">
        <v>16</v>
      </c>
      <c r="G83" t="s">
        <v>26</v>
      </c>
      <c r="H83" t="s">
        <v>28</v>
      </c>
      <c r="I83">
        <v>2</v>
      </c>
      <c r="J83">
        <v>900</v>
      </c>
      <c r="K83">
        <v>650</v>
      </c>
      <c r="L83">
        <f t="shared" si="2"/>
        <v>250</v>
      </c>
    </row>
    <row r="84" spans="3:12" x14ac:dyDescent="0.3">
      <c r="C84">
        <v>81</v>
      </c>
      <c r="D84" s="1">
        <v>45372</v>
      </c>
      <c r="E84" t="s">
        <v>9</v>
      </c>
      <c r="F84" t="s">
        <v>13</v>
      </c>
      <c r="G84" t="s">
        <v>17</v>
      </c>
      <c r="H84" t="s">
        <v>27</v>
      </c>
      <c r="I84">
        <v>2</v>
      </c>
      <c r="J84">
        <v>2000</v>
      </c>
      <c r="K84">
        <v>1600</v>
      </c>
      <c r="L84">
        <f t="shared" si="2"/>
        <v>400</v>
      </c>
    </row>
    <row r="85" spans="3:12" x14ac:dyDescent="0.3">
      <c r="C85">
        <v>82</v>
      </c>
      <c r="D85" s="1">
        <v>45373</v>
      </c>
      <c r="E85" t="s">
        <v>10</v>
      </c>
      <c r="F85" t="s">
        <v>14</v>
      </c>
      <c r="G85" t="s">
        <v>18</v>
      </c>
      <c r="H85" t="s">
        <v>27</v>
      </c>
      <c r="I85">
        <v>2</v>
      </c>
      <c r="J85">
        <v>1200</v>
      </c>
      <c r="K85">
        <v>900</v>
      </c>
      <c r="L85">
        <f t="shared" si="2"/>
        <v>300</v>
      </c>
    </row>
    <row r="86" spans="3:12" x14ac:dyDescent="0.3">
      <c r="C86">
        <v>83</v>
      </c>
      <c r="D86" s="1">
        <v>45374</v>
      </c>
      <c r="E86" t="s">
        <v>11</v>
      </c>
      <c r="F86" t="s">
        <v>15</v>
      </c>
      <c r="G86" t="s">
        <v>19</v>
      </c>
      <c r="H86" t="s">
        <v>28</v>
      </c>
      <c r="I86">
        <v>3</v>
      </c>
      <c r="J86">
        <v>300</v>
      </c>
      <c r="K86">
        <v>180</v>
      </c>
      <c r="L86">
        <f t="shared" si="2"/>
        <v>120</v>
      </c>
    </row>
    <row r="87" spans="3:12" x14ac:dyDescent="0.3">
      <c r="C87">
        <v>84</v>
      </c>
      <c r="D87" s="1">
        <v>45375</v>
      </c>
      <c r="E87" t="s">
        <v>12</v>
      </c>
      <c r="F87" t="s">
        <v>16</v>
      </c>
      <c r="G87" t="s">
        <v>20</v>
      </c>
      <c r="H87" t="s">
        <v>28</v>
      </c>
      <c r="I87">
        <v>2</v>
      </c>
      <c r="J87">
        <v>700</v>
      </c>
      <c r="K87">
        <v>500</v>
      </c>
      <c r="L87">
        <f t="shared" si="2"/>
        <v>200</v>
      </c>
    </row>
    <row r="88" spans="3:12" x14ac:dyDescent="0.3">
      <c r="C88">
        <v>85</v>
      </c>
      <c r="D88" s="1">
        <v>45376</v>
      </c>
      <c r="E88" t="s">
        <v>9</v>
      </c>
      <c r="F88" t="s">
        <v>13</v>
      </c>
      <c r="G88" t="s">
        <v>21</v>
      </c>
      <c r="H88" t="s">
        <v>27</v>
      </c>
      <c r="I88">
        <v>6</v>
      </c>
      <c r="J88">
        <v>600</v>
      </c>
      <c r="K88">
        <v>360</v>
      </c>
      <c r="L88">
        <f t="shared" si="2"/>
        <v>240</v>
      </c>
    </row>
    <row r="89" spans="3:12" x14ac:dyDescent="0.3">
      <c r="C89">
        <v>86</v>
      </c>
      <c r="D89" s="1">
        <v>45377</v>
      </c>
      <c r="E89" t="s">
        <v>10</v>
      </c>
      <c r="F89" t="s">
        <v>14</v>
      </c>
      <c r="G89" t="s">
        <v>22</v>
      </c>
      <c r="H89" t="s">
        <v>27</v>
      </c>
      <c r="I89">
        <v>10</v>
      </c>
      <c r="J89">
        <v>500</v>
      </c>
      <c r="K89">
        <v>300</v>
      </c>
      <c r="L89">
        <f t="shared" si="2"/>
        <v>200</v>
      </c>
    </row>
    <row r="90" spans="3:12" x14ac:dyDescent="0.3">
      <c r="C90">
        <v>87</v>
      </c>
      <c r="D90" s="1">
        <v>45378</v>
      </c>
      <c r="E90" t="s">
        <v>11</v>
      </c>
      <c r="F90" t="s">
        <v>15</v>
      </c>
      <c r="G90" t="s">
        <v>23</v>
      </c>
      <c r="H90" t="s">
        <v>27</v>
      </c>
      <c r="I90">
        <v>4</v>
      </c>
      <c r="J90">
        <v>400</v>
      </c>
      <c r="K90">
        <v>260</v>
      </c>
      <c r="L90">
        <f t="shared" si="2"/>
        <v>140</v>
      </c>
    </row>
    <row r="91" spans="3:12" x14ac:dyDescent="0.3">
      <c r="C91">
        <v>88</v>
      </c>
      <c r="D91" s="1">
        <v>45379</v>
      </c>
      <c r="E91" t="s">
        <v>12</v>
      </c>
      <c r="F91" t="s">
        <v>16</v>
      </c>
      <c r="G91" t="s">
        <v>24</v>
      </c>
      <c r="H91" t="s">
        <v>27</v>
      </c>
      <c r="I91">
        <v>3</v>
      </c>
      <c r="J91">
        <v>1200</v>
      </c>
      <c r="K91">
        <v>930</v>
      </c>
      <c r="L91">
        <f t="shared" si="2"/>
        <v>270</v>
      </c>
    </row>
    <row r="92" spans="3:12" x14ac:dyDescent="0.3">
      <c r="C92">
        <v>89</v>
      </c>
      <c r="D92" s="1">
        <v>45380</v>
      </c>
      <c r="E92" t="s">
        <v>9</v>
      </c>
      <c r="F92" t="s">
        <v>13</v>
      </c>
      <c r="G92" t="s">
        <v>25</v>
      </c>
      <c r="H92" t="s">
        <v>28</v>
      </c>
      <c r="I92">
        <v>1</v>
      </c>
      <c r="J92">
        <v>1200</v>
      </c>
      <c r="K92">
        <v>900</v>
      </c>
      <c r="L92">
        <f t="shared" si="2"/>
        <v>300</v>
      </c>
    </row>
    <row r="93" spans="3:12" x14ac:dyDescent="0.3">
      <c r="C93">
        <v>90</v>
      </c>
      <c r="D93" s="1">
        <v>45381</v>
      </c>
      <c r="E93" t="s">
        <v>10</v>
      </c>
      <c r="F93" t="s">
        <v>14</v>
      </c>
      <c r="G93" t="s">
        <v>26</v>
      </c>
      <c r="H93" t="s">
        <v>28</v>
      </c>
      <c r="I93">
        <v>1</v>
      </c>
      <c r="J93">
        <v>450</v>
      </c>
      <c r="K93">
        <v>325</v>
      </c>
      <c r="L93">
        <f t="shared" si="2"/>
        <v>125</v>
      </c>
    </row>
    <row r="94" spans="3:12" x14ac:dyDescent="0.3">
      <c r="C94">
        <v>91</v>
      </c>
      <c r="D94" s="1">
        <v>45382</v>
      </c>
      <c r="E94" t="s">
        <v>11</v>
      </c>
      <c r="F94" t="s">
        <v>15</v>
      </c>
      <c r="G94" t="s">
        <v>17</v>
      </c>
      <c r="H94" t="s">
        <v>27</v>
      </c>
      <c r="I94">
        <v>2</v>
      </c>
      <c r="J94">
        <v>1000</v>
      </c>
      <c r="K94">
        <v>800</v>
      </c>
      <c r="L94">
        <f t="shared" si="2"/>
        <v>200</v>
      </c>
    </row>
    <row r="95" spans="3:12" x14ac:dyDescent="0.3">
      <c r="C95">
        <v>92</v>
      </c>
      <c r="D95" s="1">
        <v>45383</v>
      </c>
      <c r="E95" t="s">
        <v>12</v>
      </c>
      <c r="F95" t="s">
        <v>16</v>
      </c>
      <c r="G95" t="s">
        <v>18</v>
      </c>
      <c r="H95" t="s">
        <v>27</v>
      </c>
      <c r="I95">
        <v>1</v>
      </c>
      <c r="J95">
        <v>600</v>
      </c>
      <c r="K95">
        <v>450</v>
      </c>
      <c r="L95">
        <f t="shared" si="2"/>
        <v>150</v>
      </c>
    </row>
    <row r="96" spans="3:12" x14ac:dyDescent="0.3">
      <c r="C96">
        <v>93</v>
      </c>
      <c r="D96" s="1">
        <v>45384</v>
      </c>
      <c r="E96" t="s">
        <v>9</v>
      </c>
      <c r="F96" t="s">
        <v>13</v>
      </c>
      <c r="G96" t="s">
        <v>19</v>
      </c>
      <c r="H96" t="s">
        <v>28</v>
      </c>
      <c r="I96">
        <v>4</v>
      </c>
      <c r="J96">
        <v>400</v>
      </c>
      <c r="K96">
        <v>250</v>
      </c>
      <c r="L96">
        <f t="shared" si="2"/>
        <v>150</v>
      </c>
    </row>
    <row r="97" spans="3:12" x14ac:dyDescent="0.3">
      <c r="C97">
        <v>94</v>
      </c>
      <c r="D97" s="1">
        <v>45385</v>
      </c>
      <c r="E97" t="s">
        <v>10</v>
      </c>
      <c r="F97" t="s">
        <v>14</v>
      </c>
      <c r="G97" t="s">
        <v>20</v>
      </c>
      <c r="H97" t="s">
        <v>28</v>
      </c>
      <c r="I97">
        <v>2</v>
      </c>
      <c r="J97">
        <v>700</v>
      </c>
      <c r="K97">
        <v>500</v>
      </c>
      <c r="L97">
        <f t="shared" si="2"/>
        <v>200</v>
      </c>
    </row>
    <row r="98" spans="3:12" x14ac:dyDescent="0.3">
      <c r="C98">
        <v>95</v>
      </c>
      <c r="D98" s="1">
        <v>45386</v>
      </c>
      <c r="E98" t="s">
        <v>11</v>
      </c>
      <c r="F98" t="s">
        <v>15</v>
      </c>
      <c r="G98" t="s">
        <v>21</v>
      </c>
      <c r="H98" t="s">
        <v>27</v>
      </c>
      <c r="I98">
        <v>5</v>
      </c>
      <c r="J98">
        <v>500</v>
      </c>
      <c r="K98">
        <v>300</v>
      </c>
      <c r="L98">
        <f t="shared" si="2"/>
        <v>200</v>
      </c>
    </row>
    <row r="99" spans="3:12" x14ac:dyDescent="0.3">
      <c r="C99">
        <v>96</v>
      </c>
      <c r="D99" s="1">
        <v>45387</v>
      </c>
      <c r="E99" t="s">
        <v>12</v>
      </c>
      <c r="F99" t="s">
        <v>16</v>
      </c>
      <c r="G99" t="s">
        <v>22</v>
      </c>
      <c r="H99" t="s">
        <v>27</v>
      </c>
      <c r="I99">
        <v>6</v>
      </c>
      <c r="J99">
        <v>300</v>
      </c>
      <c r="K99">
        <v>180</v>
      </c>
      <c r="L99">
        <f t="shared" si="2"/>
        <v>120</v>
      </c>
    </row>
    <row r="100" spans="3:12" x14ac:dyDescent="0.3">
      <c r="C100">
        <v>97</v>
      </c>
      <c r="D100" s="1">
        <v>45388</v>
      </c>
      <c r="E100" t="s">
        <v>9</v>
      </c>
      <c r="F100" t="s">
        <v>13</v>
      </c>
      <c r="G100" t="s">
        <v>23</v>
      </c>
      <c r="H100" t="s">
        <v>27</v>
      </c>
      <c r="I100">
        <v>4</v>
      </c>
      <c r="J100">
        <v>400</v>
      </c>
      <c r="K100">
        <v>260</v>
      </c>
      <c r="L100">
        <f t="shared" ref="L100:L131" si="3">J100-K100</f>
        <v>140</v>
      </c>
    </row>
    <row r="101" spans="3:12" x14ac:dyDescent="0.3">
      <c r="C101">
        <v>98</v>
      </c>
      <c r="D101" s="1">
        <v>45389</v>
      </c>
      <c r="E101" t="s">
        <v>10</v>
      </c>
      <c r="F101" t="s">
        <v>14</v>
      </c>
      <c r="G101" t="s">
        <v>24</v>
      </c>
      <c r="H101" t="s">
        <v>27</v>
      </c>
      <c r="I101">
        <v>2</v>
      </c>
      <c r="J101">
        <v>800</v>
      </c>
      <c r="K101">
        <v>620</v>
      </c>
      <c r="L101">
        <f t="shared" si="3"/>
        <v>180</v>
      </c>
    </row>
    <row r="102" spans="3:12" x14ac:dyDescent="0.3">
      <c r="C102">
        <v>99</v>
      </c>
      <c r="D102" s="1">
        <v>45390</v>
      </c>
      <c r="E102" t="s">
        <v>11</v>
      </c>
      <c r="F102" t="s">
        <v>15</v>
      </c>
      <c r="G102" t="s">
        <v>25</v>
      </c>
      <c r="H102" t="s">
        <v>28</v>
      </c>
      <c r="I102">
        <v>1</v>
      </c>
      <c r="J102">
        <v>1200</v>
      </c>
      <c r="K102">
        <v>900</v>
      </c>
      <c r="L102">
        <f t="shared" si="3"/>
        <v>300</v>
      </c>
    </row>
    <row r="103" spans="3:12" x14ac:dyDescent="0.3">
      <c r="C103">
        <v>100</v>
      </c>
      <c r="D103" s="1">
        <v>45391</v>
      </c>
      <c r="E103" t="s">
        <v>12</v>
      </c>
      <c r="F103" t="s">
        <v>16</v>
      </c>
      <c r="G103" t="s">
        <v>26</v>
      </c>
      <c r="H103" t="s">
        <v>28</v>
      </c>
      <c r="I103">
        <v>2</v>
      </c>
      <c r="J103">
        <v>900</v>
      </c>
      <c r="K103">
        <v>650</v>
      </c>
      <c r="L103">
        <f t="shared" si="3"/>
        <v>250</v>
      </c>
    </row>
    <row r="104" spans="3:12" x14ac:dyDescent="0.3">
      <c r="C104">
        <v>101</v>
      </c>
      <c r="D104" s="1">
        <v>45392</v>
      </c>
      <c r="E104" t="s">
        <v>9</v>
      </c>
      <c r="F104" t="s">
        <v>13</v>
      </c>
      <c r="G104" t="s">
        <v>17</v>
      </c>
      <c r="H104" t="s">
        <v>27</v>
      </c>
      <c r="I104">
        <v>1</v>
      </c>
      <c r="J104">
        <v>1000</v>
      </c>
      <c r="K104">
        <v>800</v>
      </c>
      <c r="L104">
        <f t="shared" si="3"/>
        <v>200</v>
      </c>
    </row>
    <row r="105" spans="3:12" x14ac:dyDescent="0.3">
      <c r="C105">
        <v>102</v>
      </c>
      <c r="D105" s="1">
        <v>45393</v>
      </c>
      <c r="E105" t="s">
        <v>10</v>
      </c>
      <c r="F105" t="s">
        <v>14</v>
      </c>
      <c r="G105" t="s">
        <v>18</v>
      </c>
      <c r="H105" t="s">
        <v>27</v>
      </c>
      <c r="I105">
        <v>3</v>
      </c>
      <c r="J105">
        <v>1800</v>
      </c>
      <c r="K105">
        <v>1350</v>
      </c>
      <c r="L105">
        <f t="shared" si="3"/>
        <v>450</v>
      </c>
    </row>
    <row r="106" spans="3:12" x14ac:dyDescent="0.3">
      <c r="C106">
        <v>103</v>
      </c>
      <c r="D106" s="1">
        <v>45394</v>
      </c>
      <c r="E106" t="s">
        <v>11</v>
      </c>
      <c r="F106" t="s">
        <v>15</v>
      </c>
      <c r="G106" t="s">
        <v>19</v>
      </c>
      <c r="H106" t="s">
        <v>28</v>
      </c>
      <c r="I106">
        <v>5</v>
      </c>
      <c r="J106">
        <v>500</v>
      </c>
      <c r="K106">
        <v>300</v>
      </c>
      <c r="L106">
        <f t="shared" si="3"/>
        <v>200</v>
      </c>
    </row>
    <row r="107" spans="3:12" x14ac:dyDescent="0.3">
      <c r="C107">
        <v>104</v>
      </c>
      <c r="D107" s="1">
        <v>45395</v>
      </c>
      <c r="E107" t="s">
        <v>12</v>
      </c>
      <c r="F107" t="s">
        <v>16</v>
      </c>
      <c r="G107" t="s">
        <v>20</v>
      </c>
      <c r="H107" t="s">
        <v>28</v>
      </c>
      <c r="I107">
        <v>1</v>
      </c>
      <c r="J107">
        <v>350</v>
      </c>
      <c r="K107">
        <v>250</v>
      </c>
      <c r="L107">
        <f t="shared" si="3"/>
        <v>100</v>
      </c>
    </row>
    <row r="108" spans="3:12" x14ac:dyDescent="0.3">
      <c r="C108">
        <v>105</v>
      </c>
      <c r="D108" s="1">
        <v>45396</v>
      </c>
      <c r="E108" t="s">
        <v>9</v>
      </c>
      <c r="F108" t="s">
        <v>13</v>
      </c>
      <c r="G108" t="s">
        <v>21</v>
      </c>
      <c r="H108" t="s">
        <v>27</v>
      </c>
      <c r="I108">
        <v>4</v>
      </c>
      <c r="J108">
        <v>400</v>
      </c>
      <c r="K108">
        <v>240</v>
      </c>
      <c r="L108">
        <f t="shared" si="3"/>
        <v>160</v>
      </c>
    </row>
    <row r="109" spans="3:12" x14ac:dyDescent="0.3">
      <c r="C109">
        <v>106</v>
      </c>
      <c r="D109" s="1">
        <v>45397</v>
      </c>
      <c r="E109" t="s">
        <v>10</v>
      </c>
      <c r="F109" t="s">
        <v>14</v>
      </c>
      <c r="G109" t="s">
        <v>22</v>
      </c>
      <c r="H109" t="s">
        <v>27</v>
      </c>
      <c r="I109">
        <v>8</v>
      </c>
      <c r="J109">
        <v>400</v>
      </c>
      <c r="K109">
        <v>240</v>
      </c>
      <c r="L109">
        <f t="shared" si="3"/>
        <v>160</v>
      </c>
    </row>
    <row r="110" spans="3:12" x14ac:dyDescent="0.3">
      <c r="C110">
        <v>107</v>
      </c>
      <c r="D110" s="1">
        <v>45398</v>
      </c>
      <c r="E110" t="s">
        <v>11</v>
      </c>
      <c r="F110" t="s">
        <v>15</v>
      </c>
      <c r="G110" t="s">
        <v>23</v>
      </c>
      <c r="H110" t="s">
        <v>27</v>
      </c>
      <c r="I110">
        <v>3</v>
      </c>
      <c r="J110">
        <v>300</v>
      </c>
      <c r="K110">
        <v>195</v>
      </c>
      <c r="L110">
        <f t="shared" si="3"/>
        <v>105</v>
      </c>
    </row>
    <row r="111" spans="3:12" x14ac:dyDescent="0.3">
      <c r="C111">
        <v>108</v>
      </c>
      <c r="D111" s="1">
        <v>45399</v>
      </c>
      <c r="E111" t="s">
        <v>12</v>
      </c>
      <c r="F111" t="s">
        <v>16</v>
      </c>
      <c r="G111" t="s">
        <v>24</v>
      </c>
      <c r="H111" t="s">
        <v>27</v>
      </c>
      <c r="I111">
        <v>2</v>
      </c>
      <c r="J111">
        <v>800</v>
      </c>
      <c r="K111">
        <v>620</v>
      </c>
      <c r="L111">
        <f t="shared" si="3"/>
        <v>180</v>
      </c>
    </row>
    <row r="112" spans="3:12" x14ac:dyDescent="0.3">
      <c r="C112">
        <v>109</v>
      </c>
      <c r="D112" s="1">
        <v>45400</v>
      </c>
      <c r="E112" t="s">
        <v>9</v>
      </c>
      <c r="F112" t="s">
        <v>13</v>
      </c>
      <c r="G112" t="s">
        <v>25</v>
      </c>
      <c r="H112" t="s">
        <v>28</v>
      </c>
      <c r="I112">
        <v>1</v>
      </c>
      <c r="J112">
        <v>1200</v>
      </c>
      <c r="K112">
        <v>900</v>
      </c>
      <c r="L112">
        <f t="shared" si="3"/>
        <v>300</v>
      </c>
    </row>
    <row r="113" spans="3:12" x14ac:dyDescent="0.3">
      <c r="C113">
        <v>110</v>
      </c>
      <c r="D113" s="1">
        <v>45401</v>
      </c>
      <c r="E113" t="s">
        <v>10</v>
      </c>
      <c r="F113" t="s">
        <v>14</v>
      </c>
      <c r="G113" t="s">
        <v>26</v>
      </c>
      <c r="H113" t="s">
        <v>28</v>
      </c>
      <c r="I113">
        <v>2</v>
      </c>
      <c r="J113">
        <v>900</v>
      </c>
      <c r="K113">
        <v>650</v>
      </c>
      <c r="L113">
        <f t="shared" si="3"/>
        <v>250</v>
      </c>
    </row>
    <row r="114" spans="3:12" x14ac:dyDescent="0.3">
      <c r="C114">
        <v>111</v>
      </c>
      <c r="D114" s="1">
        <v>45402</v>
      </c>
      <c r="E114" t="s">
        <v>11</v>
      </c>
      <c r="F114" t="s">
        <v>15</v>
      </c>
      <c r="G114" t="s">
        <v>17</v>
      </c>
      <c r="H114" t="s">
        <v>27</v>
      </c>
      <c r="I114">
        <v>2</v>
      </c>
      <c r="J114">
        <v>2000</v>
      </c>
      <c r="K114">
        <v>1600</v>
      </c>
      <c r="L114">
        <f t="shared" si="3"/>
        <v>400</v>
      </c>
    </row>
    <row r="115" spans="3:12" x14ac:dyDescent="0.3">
      <c r="C115">
        <v>112</v>
      </c>
      <c r="D115" s="1">
        <v>45403</v>
      </c>
      <c r="E115" t="s">
        <v>12</v>
      </c>
      <c r="F115" t="s">
        <v>16</v>
      </c>
      <c r="G115" t="s">
        <v>18</v>
      </c>
      <c r="H115" t="s">
        <v>27</v>
      </c>
      <c r="I115">
        <v>2</v>
      </c>
      <c r="J115">
        <v>1200</v>
      </c>
      <c r="K115">
        <v>900</v>
      </c>
      <c r="L115">
        <f t="shared" si="3"/>
        <v>300</v>
      </c>
    </row>
    <row r="116" spans="3:12" x14ac:dyDescent="0.3">
      <c r="C116">
        <v>113</v>
      </c>
      <c r="D116" s="1">
        <v>45404</v>
      </c>
      <c r="E116" t="s">
        <v>9</v>
      </c>
      <c r="F116" t="s">
        <v>13</v>
      </c>
      <c r="G116" t="s">
        <v>19</v>
      </c>
      <c r="H116" t="s">
        <v>28</v>
      </c>
      <c r="I116">
        <v>3</v>
      </c>
      <c r="J116">
        <v>300</v>
      </c>
      <c r="K116">
        <v>180</v>
      </c>
      <c r="L116">
        <f t="shared" si="3"/>
        <v>120</v>
      </c>
    </row>
    <row r="117" spans="3:12" x14ac:dyDescent="0.3">
      <c r="C117">
        <v>114</v>
      </c>
      <c r="D117" s="1">
        <v>45405</v>
      </c>
      <c r="E117" t="s">
        <v>10</v>
      </c>
      <c r="F117" t="s">
        <v>14</v>
      </c>
      <c r="G117" t="s">
        <v>20</v>
      </c>
      <c r="H117" t="s">
        <v>28</v>
      </c>
      <c r="I117">
        <v>2</v>
      </c>
      <c r="J117">
        <v>700</v>
      </c>
      <c r="K117">
        <v>500</v>
      </c>
      <c r="L117">
        <f t="shared" si="3"/>
        <v>200</v>
      </c>
    </row>
    <row r="118" spans="3:12" x14ac:dyDescent="0.3">
      <c r="C118">
        <v>115</v>
      </c>
      <c r="D118" s="1">
        <v>45406</v>
      </c>
      <c r="E118" t="s">
        <v>11</v>
      </c>
      <c r="F118" t="s">
        <v>15</v>
      </c>
      <c r="G118" t="s">
        <v>21</v>
      </c>
      <c r="H118" t="s">
        <v>27</v>
      </c>
      <c r="I118">
        <v>6</v>
      </c>
      <c r="J118">
        <v>600</v>
      </c>
      <c r="K118">
        <v>360</v>
      </c>
      <c r="L118">
        <f t="shared" si="3"/>
        <v>240</v>
      </c>
    </row>
    <row r="119" spans="3:12" x14ac:dyDescent="0.3">
      <c r="C119">
        <v>116</v>
      </c>
      <c r="D119" s="1">
        <v>45407</v>
      </c>
      <c r="E119" t="s">
        <v>12</v>
      </c>
      <c r="F119" t="s">
        <v>16</v>
      </c>
      <c r="G119" t="s">
        <v>22</v>
      </c>
      <c r="H119" t="s">
        <v>27</v>
      </c>
      <c r="I119">
        <v>10</v>
      </c>
      <c r="J119">
        <v>500</v>
      </c>
      <c r="K119">
        <v>300</v>
      </c>
      <c r="L119">
        <f t="shared" si="3"/>
        <v>200</v>
      </c>
    </row>
    <row r="120" spans="3:12" x14ac:dyDescent="0.3">
      <c r="C120">
        <v>117</v>
      </c>
      <c r="D120" s="1">
        <v>45408</v>
      </c>
      <c r="E120" t="s">
        <v>9</v>
      </c>
      <c r="F120" t="s">
        <v>13</v>
      </c>
      <c r="G120" t="s">
        <v>23</v>
      </c>
      <c r="H120" t="s">
        <v>27</v>
      </c>
      <c r="I120">
        <v>4</v>
      </c>
      <c r="J120">
        <v>400</v>
      </c>
      <c r="K120">
        <v>260</v>
      </c>
      <c r="L120">
        <f t="shared" si="3"/>
        <v>140</v>
      </c>
    </row>
    <row r="121" spans="3:12" x14ac:dyDescent="0.3">
      <c r="C121">
        <v>118</v>
      </c>
      <c r="D121" s="1">
        <v>45409</v>
      </c>
      <c r="E121" t="s">
        <v>10</v>
      </c>
      <c r="F121" t="s">
        <v>14</v>
      </c>
      <c r="G121" t="s">
        <v>24</v>
      </c>
      <c r="H121" t="s">
        <v>27</v>
      </c>
      <c r="I121">
        <v>3</v>
      </c>
      <c r="J121">
        <v>1200</v>
      </c>
      <c r="K121">
        <v>930</v>
      </c>
      <c r="L121">
        <f t="shared" si="3"/>
        <v>270</v>
      </c>
    </row>
    <row r="122" spans="3:12" x14ac:dyDescent="0.3">
      <c r="C122">
        <v>119</v>
      </c>
      <c r="D122" s="1">
        <v>45410</v>
      </c>
      <c r="E122" t="s">
        <v>11</v>
      </c>
      <c r="F122" t="s">
        <v>15</v>
      </c>
      <c r="G122" t="s">
        <v>25</v>
      </c>
      <c r="H122" t="s">
        <v>28</v>
      </c>
      <c r="I122">
        <v>1</v>
      </c>
      <c r="J122">
        <v>1200</v>
      </c>
      <c r="K122">
        <v>900</v>
      </c>
      <c r="L122">
        <f t="shared" si="3"/>
        <v>300</v>
      </c>
    </row>
    <row r="123" spans="3:12" x14ac:dyDescent="0.3">
      <c r="C123">
        <v>120</v>
      </c>
      <c r="D123" s="1">
        <v>45411</v>
      </c>
      <c r="E123" t="s">
        <v>12</v>
      </c>
      <c r="F123" t="s">
        <v>16</v>
      </c>
      <c r="G123" t="s">
        <v>26</v>
      </c>
      <c r="H123" t="s">
        <v>28</v>
      </c>
      <c r="I123">
        <v>1</v>
      </c>
      <c r="J123">
        <v>450</v>
      </c>
      <c r="K123">
        <v>325</v>
      </c>
      <c r="L123">
        <f t="shared" si="3"/>
        <v>125</v>
      </c>
    </row>
    <row r="124" spans="3:12" x14ac:dyDescent="0.3">
      <c r="C124">
        <v>121</v>
      </c>
      <c r="D124" s="1">
        <v>45412</v>
      </c>
      <c r="E124" t="s">
        <v>9</v>
      </c>
      <c r="F124" t="s">
        <v>13</v>
      </c>
      <c r="G124" t="s">
        <v>17</v>
      </c>
      <c r="H124" t="s">
        <v>27</v>
      </c>
      <c r="I124">
        <v>2</v>
      </c>
      <c r="J124">
        <v>1000</v>
      </c>
      <c r="K124">
        <v>800</v>
      </c>
      <c r="L124">
        <f t="shared" si="3"/>
        <v>200</v>
      </c>
    </row>
    <row r="125" spans="3:12" x14ac:dyDescent="0.3">
      <c r="C125">
        <v>122</v>
      </c>
      <c r="D125" s="1">
        <v>45413</v>
      </c>
      <c r="E125" t="s">
        <v>10</v>
      </c>
      <c r="F125" t="s">
        <v>14</v>
      </c>
      <c r="G125" t="s">
        <v>18</v>
      </c>
      <c r="H125" t="s">
        <v>27</v>
      </c>
      <c r="I125">
        <v>1</v>
      </c>
      <c r="J125">
        <v>600</v>
      </c>
      <c r="K125">
        <v>450</v>
      </c>
      <c r="L125">
        <f t="shared" si="3"/>
        <v>150</v>
      </c>
    </row>
    <row r="126" spans="3:12" x14ac:dyDescent="0.3">
      <c r="C126">
        <v>123</v>
      </c>
      <c r="D126" s="1">
        <v>45414</v>
      </c>
      <c r="E126" t="s">
        <v>11</v>
      </c>
      <c r="F126" t="s">
        <v>15</v>
      </c>
      <c r="G126" t="s">
        <v>19</v>
      </c>
      <c r="H126" t="s">
        <v>28</v>
      </c>
      <c r="I126">
        <v>4</v>
      </c>
      <c r="J126">
        <v>400</v>
      </c>
      <c r="K126">
        <v>250</v>
      </c>
      <c r="L126">
        <f t="shared" si="3"/>
        <v>150</v>
      </c>
    </row>
    <row r="127" spans="3:12" x14ac:dyDescent="0.3">
      <c r="C127">
        <v>124</v>
      </c>
      <c r="D127" s="1">
        <v>45415</v>
      </c>
      <c r="E127" t="s">
        <v>12</v>
      </c>
      <c r="F127" t="s">
        <v>16</v>
      </c>
      <c r="G127" t="s">
        <v>20</v>
      </c>
      <c r="H127" t="s">
        <v>28</v>
      </c>
      <c r="I127">
        <v>2</v>
      </c>
      <c r="J127">
        <v>700</v>
      </c>
      <c r="K127">
        <v>500</v>
      </c>
      <c r="L127">
        <f t="shared" si="3"/>
        <v>200</v>
      </c>
    </row>
    <row r="128" spans="3:12" x14ac:dyDescent="0.3">
      <c r="C128">
        <v>125</v>
      </c>
      <c r="D128" s="1">
        <v>45416</v>
      </c>
      <c r="E128" t="s">
        <v>9</v>
      </c>
      <c r="F128" t="s">
        <v>13</v>
      </c>
      <c r="G128" t="s">
        <v>21</v>
      </c>
      <c r="H128" t="s">
        <v>27</v>
      </c>
      <c r="I128">
        <v>5</v>
      </c>
      <c r="J128">
        <v>500</v>
      </c>
      <c r="K128">
        <v>300</v>
      </c>
      <c r="L128">
        <f t="shared" si="3"/>
        <v>200</v>
      </c>
    </row>
    <row r="129" spans="3:12" x14ac:dyDescent="0.3">
      <c r="C129">
        <v>126</v>
      </c>
      <c r="D129" s="1">
        <v>45417</v>
      </c>
      <c r="E129" t="s">
        <v>10</v>
      </c>
      <c r="F129" t="s">
        <v>14</v>
      </c>
      <c r="G129" t="s">
        <v>22</v>
      </c>
      <c r="H129" t="s">
        <v>27</v>
      </c>
      <c r="I129">
        <v>6</v>
      </c>
      <c r="J129">
        <v>300</v>
      </c>
      <c r="K129">
        <v>180</v>
      </c>
      <c r="L129">
        <f t="shared" si="3"/>
        <v>120</v>
      </c>
    </row>
    <row r="130" spans="3:12" x14ac:dyDescent="0.3">
      <c r="C130">
        <v>127</v>
      </c>
      <c r="D130" s="1">
        <v>45418</v>
      </c>
      <c r="E130" t="s">
        <v>11</v>
      </c>
      <c r="F130" t="s">
        <v>15</v>
      </c>
      <c r="G130" t="s">
        <v>23</v>
      </c>
      <c r="H130" t="s">
        <v>27</v>
      </c>
      <c r="I130">
        <v>4</v>
      </c>
      <c r="J130">
        <v>400</v>
      </c>
      <c r="K130">
        <v>260</v>
      </c>
      <c r="L130">
        <f t="shared" si="3"/>
        <v>140</v>
      </c>
    </row>
    <row r="131" spans="3:12" x14ac:dyDescent="0.3">
      <c r="C131">
        <v>128</v>
      </c>
      <c r="D131" s="1">
        <v>45419</v>
      </c>
      <c r="E131" t="s">
        <v>12</v>
      </c>
      <c r="F131" t="s">
        <v>16</v>
      </c>
      <c r="G131" t="s">
        <v>24</v>
      </c>
      <c r="H131" t="s">
        <v>27</v>
      </c>
      <c r="I131">
        <v>2</v>
      </c>
      <c r="J131">
        <v>800</v>
      </c>
      <c r="K131">
        <v>620</v>
      </c>
      <c r="L131">
        <f t="shared" si="3"/>
        <v>180</v>
      </c>
    </row>
    <row r="132" spans="3:12" x14ac:dyDescent="0.3">
      <c r="C132">
        <v>129</v>
      </c>
      <c r="D132" s="1">
        <v>45420</v>
      </c>
      <c r="E132" t="s">
        <v>9</v>
      </c>
      <c r="F132" t="s">
        <v>13</v>
      </c>
      <c r="G132" t="s">
        <v>25</v>
      </c>
      <c r="H132" t="s">
        <v>28</v>
      </c>
      <c r="I132">
        <v>1</v>
      </c>
      <c r="J132">
        <v>1200</v>
      </c>
      <c r="K132">
        <v>900</v>
      </c>
      <c r="L132">
        <f t="shared" ref="L132:L163" si="4">J132-K132</f>
        <v>300</v>
      </c>
    </row>
    <row r="133" spans="3:12" x14ac:dyDescent="0.3">
      <c r="C133">
        <v>130</v>
      </c>
      <c r="D133" s="1">
        <v>45421</v>
      </c>
      <c r="E133" t="s">
        <v>10</v>
      </c>
      <c r="F133" t="s">
        <v>14</v>
      </c>
      <c r="G133" t="s">
        <v>26</v>
      </c>
      <c r="H133" t="s">
        <v>28</v>
      </c>
      <c r="I133">
        <v>2</v>
      </c>
      <c r="J133">
        <v>900</v>
      </c>
      <c r="K133">
        <v>650</v>
      </c>
      <c r="L133">
        <f t="shared" si="4"/>
        <v>250</v>
      </c>
    </row>
    <row r="134" spans="3:12" x14ac:dyDescent="0.3">
      <c r="C134">
        <v>131</v>
      </c>
      <c r="D134" s="1">
        <v>45422</v>
      </c>
      <c r="E134" t="s">
        <v>11</v>
      </c>
      <c r="F134" t="s">
        <v>15</v>
      </c>
      <c r="G134" t="s">
        <v>17</v>
      </c>
      <c r="H134" t="s">
        <v>27</v>
      </c>
      <c r="I134">
        <v>1</v>
      </c>
      <c r="J134">
        <v>1000</v>
      </c>
      <c r="K134">
        <v>800</v>
      </c>
      <c r="L134">
        <f t="shared" si="4"/>
        <v>200</v>
      </c>
    </row>
    <row r="135" spans="3:12" x14ac:dyDescent="0.3">
      <c r="C135">
        <v>132</v>
      </c>
      <c r="D135" s="1">
        <v>45423</v>
      </c>
      <c r="E135" t="s">
        <v>12</v>
      </c>
      <c r="F135" t="s">
        <v>16</v>
      </c>
      <c r="G135" t="s">
        <v>18</v>
      </c>
      <c r="H135" t="s">
        <v>27</v>
      </c>
      <c r="I135">
        <v>3</v>
      </c>
      <c r="J135">
        <v>1800</v>
      </c>
      <c r="K135">
        <v>1350</v>
      </c>
      <c r="L135">
        <f t="shared" si="4"/>
        <v>450</v>
      </c>
    </row>
    <row r="136" spans="3:12" x14ac:dyDescent="0.3">
      <c r="C136">
        <v>133</v>
      </c>
      <c r="D136" s="1">
        <v>45424</v>
      </c>
      <c r="E136" t="s">
        <v>9</v>
      </c>
      <c r="F136" t="s">
        <v>13</v>
      </c>
      <c r="G136" t="s">
        <v>19</v>
      </c>
      <c r="H136" t="s">
        <v>28</v>
      </c>
      <c r="I136">
        <v>5</v>
      </c>
      <c r="J136">
        <v>500</v>
      </c>
      <c r="K136">
        <v>300</v>
      </c>
      <c r="L136">
        <f t="shared" si="4"/>
        <v>200</v>
      </c>
    </row>
    <row r="137" spans="3:12" x14ac:dyDescent="0.3">
      <c r="C137">
        <v>134</v>
      </c>
      <c r="D137" s="1">
        <v>45425</v>
      </c>
      <c r="E137" t="s">
        <v>10</v>
      </c>
      <c r="F137" t="s">
        <v>14</v>
      </c>
      <c r="G137" t="s">
        <v>20</v>
      </c>
      <c r="H137" t="s">
        <v>28</v>
      </c>
      <c r="I137">
        <v>1</v>
      </c>
      <c r="J137">
        <v>350</v>
      </c>
      <c r="K137">
        <v>250</v>
      </c>
      <c r="L137">
        <f t="shared" si="4"/>
        <v>100</v>
      </c>
    </row>
    <row r="138" spans="3:12" x14ac:dyDescent="0.3">
      <c r="C138">
        <v>135</v>
      </c>
      <c r="D138" s="1">
        <v>45426</v>
      </c>
      <c r="E138" t="s">
        <v>11</v>
      </c>
      <c r="F138" t="s">
        <v>15</v>
      </c>
      <c r="G138" t="s">
        <v>21</v>
      </c>
      <c r="H138" t="s">
        <v>27</v>
      </c>
      <c r="I138">
        <v>4</v>
      </c>
      <c r="J138">
        <v>400</v>
      </c>
      <c r="K138">
        <v>240</v>
      </c>
      <c r="L138">
        <f t="shared" si="4"/>
        <v>160</v>
      </c>
    </row>
    <row r="139" spans="3:12" x14ac:dyDescent="0.3">
      <c r="C139">
        <v>136</v>
      </c>
      <c r="D139" s="1">
        <v>45427</v>
      </c>
      <c r="E139" t="s">
        <v>12</v>
      </c>
      <c r="F139" t="s">
        <v>16</v>
      </c>
      <c r="G139" t="s">
        <v>22</v>
      </c>
      <c r="H139" t="s">
        <v>27</v>
      </c>
      <c r="I139">
        <v>8</v>
      </c>
      <c r="J139">
        <v>400</v>
      </c>
      <c r="K139">
        <v>240</v>
      </c>
      <c r="L139">
        <f t="shared" si="4"/>
        <v>160</v>
      </c>
    </row>
    <row r="140" spans="3:12" x14ac:dyDescent="0.3">
      <c r="C140">
        <v>137</v>
      </c>
      <c r="D140" s="1">
        <v>45428</v>
      </c>
      <c r="E140" t="s">
        <v>9</v>
      </c>
      <c r="F140" t="s">
        <v>13</v>
      </c>
      <c r="G140" t="s">
        <v>23</v>
      </c>
      <c r="H140" t="s">
        <v>27</v>
      </c>
      <c r="I140">
        <v>3</v>
      </c>
      <c r="J140">
        <v>300</v>
      </c>
      <c r="K140">
        <v>195</v>
      </c>
      <c r="L140">
        <f t="shared" si="4"/>
        <v>105</v>
      </c>
    </row>
    <row r="141" spans="3:12" x14ac:dyDescent="0.3">
      <c r="C141">
        <v>138</v>
      </c>
      <c r="D141" s="1">
        <v>45429</v>
      </c>
      <c r="E141" t="s">
        <v>10</v>
      </c>
      <c r="F141" t="s">
        <v>14</v>
      </c>
      <c r="G141" t="s">
        <v>24</v>
      </c>
      <c r="H141" t="s">
        <v>27</v>
      </c>
      <c r="I141">
        <v>2</v>
      </c>
      <c r="J141">
        <v>800</v>
      </c>
      <c r="K141">
        <v>620</v>
      </c>
      <c r="L141">
        <f t="shared" si="4"/>
        <v>180</v>
      </c>
    </row>
    <row r="142" spans="3:12" x14ac:dyDescent="0.3">
      <c r="C142">
        <v>139</v>
      </c>
      <c r="D142" s="1">
        <v>45430</v>
      </c>
      <c r="E142" t="s">
        <v>11</v>
      </c>
      <c r="F142" t="s">
        <v>15</v>
      </c>
      <c r="G142" t="s">
        <v>25</v>
      </c>
      <c r="H142" t="s">
        <v>28</v>
      </c>
      <c r="I142">
        <v>1</v>
      </c>
      <c r="J142">
        <v>1200</v>
      </c>
      <c r="K142">
        <v>900</v>
      </c>
      <c r="L142">
        <f t="shared" si="4"/>
        <v>300</v>
      </c>
    </row>
    <row r="143" spans="3:12" x14ac:dyDescent="0.3">
      <c r="C143">
        <v>140</v>
      </c>
      <c r="D143" s="1">
        <v>45431</v>
      </c>
      <c r="E143" t="s">
        <v>12</v>
      </c>
      <c r="F143" t="s">
        <v>16</v>
      </c>
      <c r="G143" t="s">
        <v>26</v>
      </c>
      <c r="H143" t="s">
        <v>28</v>
      </c>
      <c r="I143">
        <v>2</v>
      </c>
      <c r="J143">
        <v>900</v>
      </c>
      <c r="K143">
        <v>650</v>
      </c>
      <c r="L143">
        <f t="shared" si="4"/>
        <v>250</v>
      </c>
    </row>
    <row r="144" spans="3:12" x14ac:dyDescent="0.3">
      <c r="C144">
        <v>141</v>
      </c>
      <c r="D144" s="1">
        <v>45432</v>
      </c>
      <c r="E144" t="s">
        <v>9</v>
      </c>
      <c r="F144" t="s">
        <v>13</v>
      </c>
      <c r="G144" t="s">
        <v>17</v>
      </c>
      <c r="H144" t="s">
        <v>27</v>
      </c>
      <c r="I144">
        <v>2</v>
      </c>
      <c r="J144">
        <v>2000</v>
      </c>
      <c r="K144">
        <v>1600</v>
      </c>
      <c r="L144">
        <f t="shared" si="4"/>
        <v>400</v>
      </c>
    </row>
    <row r="145" spans="2:12" x14ac:dyDescent="0.3">
      <c r="C145">
        <v>142</v>
      </c>
      <c r="D145" s="1">
        <v>45433</v>
      </c>
      <c r="E145" t="s">
        <v>10</v>
      </c>
      <c r="F145" t="s">
        <v>14</v>
      </c>
      <c r="G145" t="s">
        <v>18</v>
      </c>
      <c r="H145" t="s">
        <v>27</v>
      </c>
      <c r="I145">
        <v>2</v>
      </c>
      <c r="J145">
        <v>1200</v>
      </c>
      <c r="K145">
        <v>900</v>
      </c>
      <c r="L145">
        <f t="shared" si="4"/>
        <v>300</v>
      </c>
    </row>
    <row r="146" spans="2:12" x14ac:dyDescent="0.3">
      <c r="C146">
        <v>143</v>
      </c>
      <c r="D146" s="1">
        <v>45434</v>
      </c>
      <c r="E146" t="s">
        <v>11</v>
      </c>
      <c r="F146" t="s">
        <v>15</v>
      </c>
      <c r="G146" t="s">
        <v>19</v>
      </c>
      <c r="H146" t="s">
        <v>28</v>
      </c>
      <c r="I146">
        <v>3</v>
      </c>
      <c r="J146">
        <v>300</v>
      </c>
      <c r="K146">
        <v>180</v>
      </c>
      <c r="L146">
        <f t="shared" si="4"/>
        <v>120</v>
      </c>
    </row>
    <row r="147" spans="2:12" x14ac:dyDescent="0.3">
      <c r="C147">
        <v>144</v>
      </c>
      <c r="D147" s="1">
        <v>45435</v>
      </c>
      <c r="E147" t="s">
        <v>12</v>
      </c>
      <c r="F147" t="s">
        <v>16</v>
      </c>
      <c r="G147" t="s">
        <v>20</v>
      </c>
      <c r="H147" t="s">
        <v>28</v>
      </c>
      <c r="I147">
        <v>2</v>
      </c>
      <c r="J147">
        <v>700</v>
      </c>
      <c r="K147">
        <v>500</v>
      </c>
      <c r="L147">
        <f t="shared" si="4"/>
        <v>200</v>
      </c>
    </row>
    <row r="148" spans="2:12" x14ac:dyDescent="0.3">
      <c r="C148">
        <v>145</v>
      </c>
      <c r="D148" s="1">
        <v>45436</v>
      </c>
      <c r="E148" t="s">
        <v>9</v>
      </c>
      <c r="F148" t="s">
        <v>13</v>
      </c>
      <c r="G148" t="s">
        <v>21</v>
      </c>
      <c r="H148" t="s">
        <v>27</v>
      </c>
      <c r="I148">
        <v>6</v>
      </c>
      <c r="J148">
        <v>600</v>
      </c>
      <c r="K148">
        <v>360</v>
      </c>
      <c r="L148">
        <f t="shared" si="4"/>
        <v>240</v>
      </c>
    </row>
    <row r="149" spans="2:12" x14ac:dyDescent="0.3">
      <c r="C149">
        <v>146</v>
      </c>
      <c r="D149" s="1">
        <v>45437</v>
      </c>
      <c r="E149" t="s">
        <v>10</v>
      </c>
      <c r="F149" t="s">
        <v>14</v>
      </c>
      <c r="G149" t="s">
        <v>22</v>
      </c>
      <c r="H149" t="s">
        <v>27</v>
      </c>
      <c r="I149">
        <v>10</v>
      </c>
      <c r="J149">
        <v>500</v>
      </c>
      <c r="K149">
        <v>300</v>
      </c>
      <c r="L149">
        <f t="shared" si="4"/>
        <v>200</v>
      </c>
    </row>
    <row r="150" spans="2:12" x14ac:dyDescent="0.3">
      <c r="C150">
        <v>147</v>
      </c>
      <c r="D150" s="1">
        <v>45438</v>
      </c>
      <c r="E150" t="s">
        <v>11</v>
      </c>
      <c r="F150" t="s">
        <v>15</v>
      </c>
      <c r="G150" t="s">
        <v>23</v>
      </c>
      <c r="H150" t="s">
        <v>27</v>
      </c>
      <c r="I150">
        <v>4</v>
      </c>
      <c r="J150">
        <v>400</v>
      </c>
      <c r="K150">
        <v>260</v>
      </c>
      <c r="L150">
        <f t="shared" si="4"/>
        <v>140</v>
      </c>
    </row>
    <row r="151" spans="2:12" x14ac:dyDescent="0.3">
      <c r="C151">
        <v>148</v>
      </c>
      <c r="D151" s="1">
        <v>45439</v>
      </c>
      <c r="E151" t="s">
        <v>12</v>
      </c>
      <c r="F151" t="s">
        <v>16</v>
      </c>
      <c r="G151" t="s">
        <v>24</v>
      </c>
      <c r="H151" t="s">
        <v>27</v>
      </c>
      <c r="I151">
        <v>3</v>
      </c>
      <c r="J151">
        <v>1200</v>
      </c>
      <c r="K151">
        <v>930</v>
      </c>
      <c r="L151">
        <f t="shared" si="4"/>
        <v>270</v>
      </c>
    </row>
    <row r="152" spans="2:12" x14ac:dyDescent="0.3">
      <c r="B152" s="1"/>
      <c r="C152">
        <v>149</v>
      </c>
      <c r="D152" s="1">
        <v>45440</v>
      </c>
      <c r="E152" t="s">
        <v>9</v>
      </c>
      <c r="F152" t="s">
        <v>13</v>
      </c>
      <c r="G152" t="s">
        <v>25</v>
      </c>
      <c r="H152" t="s">
        <v>28</v>
      </c>
      <c r="I152">
        <v>1</v>
      </c>
      <c r="J152">
        <v>1200</v>
      </c>
      <c r="K152">
        <v>900</v>
      </c>
      <c r="L152">
        <f t="shared" si="4"/>
        <v>300</v>
      </c>
    </row>
    <row r="153" spans="2:12" x14ac:dyDescent="0.3">
      <c r="B153" s="1"/>
      <c r="C153">
        <v>150</v>
      </c>
      <c r="D153" s="1">
        <v>45441</v>
      </c>
      <c r="E153" t="s">
        <v>10</v>
      </c>
      <c r="F153" t="s">
        <v>14</v>
      </c>
      <c r="G153" t="s">
        <v>26</v>
      </c>
      <c r="H153" t="s">
        <v>28</v>
      </c>
      <c r="I153">
        <v>1</v>
      </c>
      <c r="J153">
        <v>450</v>
      </c>
      <c r="K153">
        <v>325</v>
      </c>
      <c r="L153">
        <f t="shared" si="4"/>
        <v>125</v>
      </c>
    </row>
  </sheetData>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152E-4374-492D-8052-06525913E9B8}">
  <dimension ref="A1:C28"/>
  <sheetViews>
    <sheetView workbookViewId="0">
      <selection activeCell="L21" sqref="L21"/>
    </sheetView>
  </sheetViews>
  <sheetFormatPr defaultRowHeight="14.4" x14ac:dyDescent="0.3"/>
  <cols>
    <col min="1" max="1" width="15.109375" bestFit="1" customWidth="1"/>
    <col min="2" max="2" width="11.6640625" bestFit="1" customWidth="1"/>
    <col min="3" max="3" width="23.77734375" bestFit="1" customWidth="1"/>
    <col min="4" max="4" width="11.109375" bestFit="1" customWidth="1"/>
    <col min="5" max="5" width="9.109375" bestFit="1" customWidth="1"/>
    <col min="6" max="7" width="6.88671875" bestFit="1" customWidth="1"/>
    <col min="8" max="8" width="7.88671875" bestFit="1" customWidth="1"/>
    <col min="9" max="9" width="6.77734375" bestFit="1" customWidth="1"/>
    <col min="10" max="10" width="6" bestFit="1" customWidth="1"/>
    <col min="11" max="11" width="5.5546875" bestFit="1" customWidth="1"/>
    <col min="12" max="12" width="10.77734375" bestFit="1" customWidth="1"/>
  </cols>
  <sheetData>
    <row r="1" spans="1:3" ht="18" x14ac:dyDescent="0.35">
      <c r="A1" s="15" t="s">
        <v>37</v>
      </c>
      <c r="B1" s="15"/>
      <c r="C1" s="15"/>
    </row>
    <row r="3" spans="1:3" x14ac:dyDescent="0.3">
      <c r="A3" s="3" t="s">
        <v>2</v>
      </c>
      <c r="B3" s="6" t="s">
        <v>30</v>
      </c>
      <c r="C3" s="7" t="s">
        <v>31</v>
      </c>
    </row>
    <row r="4" spans="1:3" x14ac:dyDescent="0.3">
      <c r="A4" s="4" t="s">
        <v>9</v>
      </c>
      <c r="B4" s="11">
        <v>30100</v>
      </c>
      <c r="C4" s="11">
        <v>8255</v>
      </c>
    </row>
    <row r="5" spans="1:3" x14ac:dyDescent="0.3">
      <c r="A5" s="5" t="s">
        <v>19</v>
      </c>
      <c r="B5" s="11">
        <v>2900</v>
      </c>
      <c r="C5" s="11">
        <v>1140</v>
      </c>
    </row>
    <row r="6" spans="1:3" x14ac:dyDescent="0.3">
      <c r="A6" s="5" t="s">
        <v>21</v>
      </c>
      <c r="B6" s="11">
        <v>4100</v>
      </c>
      <c r="C6" s="11">
        <v>1640</v>
      </c>
    </row>
    <row r="7" spans="1:3" x14ac:dyDescent="0.3">
      <c r="A7" s="5" t="s">
        <v>23</v>
      </c>
      <c r="B7" s="11">
        <v>2500</v>
      </c>
      <c r="C7" s="11">
        <v>875</v>
      </c>
    </row>
    <row r="8" spans="1:3" x14ac:dyDescent="0.3">
      <c r="A8" s="5" t="s">
        <v>17</v>
      </c>
      <c r="B8" s="11">
        <v>11000</v>
      </c>
      <c r="C8" s="11">
        <v>2200</v>
      </c>
    </row>
    <row r="9" spans="1:3" x14ac:dyDescent="0.3">
      <c r="A9" s="5" t="s">
        <v>25</v>
      </c>
      <c r="B9" s="11">
        <v>9600</v>
      </c>
      <c r="C9" s="11">
        <v>2400</v>
      </c>
    </row>
    <row r="10" spans="1:3" x14ac:dyDescent="0.3">
      <c r="A10" s="4" t="s">
        <v>11</v>
      </c>
      <c r="B10" s="11">
        <v>26900</v>
      </c>
      <c r="C10" s="11">
        <v>7520</v>
      </c>
    </row>
    <row r="11" spans="1:3" x14ac:dyDescent="0.3">
      <c r="A11" s="5" t="s">
        <v>19</v>
      </c>
      <c r="B11" s="11">
        <v>3100</v>
      </c>
      <c r="C11" s="11">
        <v>1210</v>
      </c>
    </row>
    <row r="12" spans="1:3" x14ac:dyDescent="0.3">
      <c r="A12" s="5" t="s">
        <v>21</v>
      </c>
      <c r="B12" s="11">
        <v>3400</v>
      </c>
      <c r="C12" s="11">
        <v>1360</v>
      </c>
    </row>
    <row r="13" spans="1:3" x14ac:dyDescent="0.3">
      <c r="A13" s="5" t="s">
        <v>23</v>
      </c>
      <c r="B13" s="11">
        <v>3000</v>
      </c>
      <c r="C13" s="11">
        <v>1050</v>
      </c>
    </row>
    <row r="14" spans="1:3" x14ac:dyDescent="0.3">
      <c r="A14" s="5" t="s">
        <v>17</v>
      </c>
      <c r="B14" s="11">
        <v>9000</v>
      </c>
      <c r="C14" s="11">
        <v>1800</v>
      </c>
    </row>
    <row r="15" spans="1:3" x14ac:dyDescent="0.3">
      <c r="A15" s="5" t="s">
        <v>25</v>
      </c>
      <c r="B15" s="11">
        <v>8400</v>
      </c>
      <c r="C15" s="11">
        <v>2100</v>
      </c>
    </row>
    <row r="16" spans="1:3" x14ac:dyDescent="0.3">
      <c r="A16" s="4" t="s">
        <v>12</v>
      </c>
      <c r="B16" s="11">
        <v>29700</v>
      </c>
      <c r="C16" s="11">
        <v>7980</v>
      </c>
    </row>
    <row r="17" spans="1:3" x14ac:dyDescent="0.3">
      <c r="A17" s="5" t="s">
        <v>26</v>
      </c>
      <c r="B17" s="11">
        <v>5400</v>
      </c>
      <c r="C17" s="11">
        <v>1500</v>
      </c>
    </row>
    <row r="18" spans="1:3" x14ac:dyDescent="0.3">
      <c r="A18" s="5" t="s">
        <v>18</v>
      </c>
      <c r="B18" s="11">
        <v>9000</v>
      </c>
      <c r="C18" s="11">
        <v>2250</v>
      </c>
    </row>
    <row r="19" spans="1:3" x14ac:dyDescent="0.3">
      <c r="A19" s="5" t="s">
        <v>24</v>
      </c>
      <c r="B19" s="11">
        <v>7600</v>
      </c>
      <c r="C19" s="11">
        <v>1710</v>
      </c>
    </row>
    <row r="20" spans="1:3" x14ac:dyDescent="0.3">
      <c r="A20" s="5" t="s">
        <v>22</v>
      </c>
      <c r="B20" s="11">
        <v>2800</v>
      </c>
      <c r="C20" s="11">
        <v>1120</v>
      </c>
    </row>
    <row r="21" spans="1:3" x14ac:dyDescent="0.3">
      <c r="A21" s="5" t="s">
        <v>20</v>
      </c>
      <c r="B21" s="11">
        <v>4900</v>
      </c>
      <c r="C21" s="11">
        <v>1400</v>
      </c>
    </row>
    <row r="22" spans="1:3" x14ac:dyDescent="0.3">
      <c r="A22" s="4" t="s">
        <v>10</v>
      </c>
      <c r="B22" s="11">
        <v>28300</v>
      </c>
      <c r="C22" s="11">
        <v>7695</v>
      </c>
    </row>
    <row r="23" spans="1:3" x14ac:dyDescent="0.3">
      <c r="A23" s="5" t="s">
        <v>26</v>
      </c>
      <c r="B23" s="11">
        <v>5850</v>
      </c>
      <c r="C23" s="11">
        <v>1625</v>
      </c>
    </row>
    <row r="24" spans="1:3" x14ac:dyDescent="0.3">
      <c r="A24" s="5" t="s">
        <v>18</v>
      </c>
      <c r="B24" s="11">
        <v>9000</v>
      </c>
      <c r="C24" s="11">
        <v>2250</v>
      </c>
    </row>
    <row r="25" spans="1:3" x14ac:dyDescent="0.3">
      <c r="A25" s="5" t="s">
        <v>24</v>
      </c>
      <c r="B25" s="11">
        <v>6400</v>
      </c>
      <c r="C25" s="11">
        <v>1440</v>
      </c>
    </row>
    <row r="26" spans="1:3" x14ac:dyDescent="0.3">
      <c r="A26" s="5" t="s">
        <v>22</v>
      </c>
      <c r="B26" s="11">
        <v>3200</v>
      </c>
      <c r="C26" s="11">
        <v>1280</v>
      </c>
    </row>
    <row r="27" spans="1:3" x14ac:dyDescent="0.3">
      <c r="A27" s="5" t="s">
        <v>20</v>
      </c>
      <c r="B27" s="11">
        <v>3850</v>
      </c>
      <c r="C27" s="11">
        <v>1100</v>
      </c>
    </row>
    <row r="28" spans="1:3" x14ac:dyDescent="0.3">
      <c r="A28" s="4" t="s">
        <v>29</v>
      </c>
      <c r="B28" s="11">
        <v>115000</v>
      </c>
      <c r="C28" s="11">
        <v>31450</v>
      </c>
    </row>
  </sheetData>
  <mergeCells count="1">
    <mergeCell ref="A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D610-BA75-4499-B647-066AE84E239B}">
  <dimension ref="B2:C9"/>
  <sheetViews>
    <sheetView workbookViewId="0">
      <selection activeCell="B18" sqref="B18"/>
    </sheetView>
  </sheetViews>
  <sheetFormatPr defaultRowHeight="14.4" x14ac:dyDescent="0.3"/>
  <cols>
    <col min="1" max="1" width="12.5546875" bestFit="1" customWidth="1"/>
    <col min="2" max="2" width="10.77734375" bestFit="1" customWidth="1"/>
    <col min="3" max="3" width="16.33203125" customWidth="1"/>
  </cols>
  <sheetData>
    <row r="2" spans="2:3" ht="18" x14ac:dyDescent="0.35">
      <c r="B2" s="15" t="s">
        <v>38</v>
      </c>
      <c r="C2" s="15"/>
    </row>
    <row r="4" spans="2:3" x14ac:dyDescent="0.3">
      <c r="B4" s="8" t="s">
        <v>41</v>
      </c>
      <c r="C4" t="s">
        <v>30</v>
      </c>
    </row>
    <row r="5" spans="2:3" x14ac:dyDescent="0.3">
      <c r="B5" s="9" t="s">
        <v>36</v>
      </c>
      <c r="C5">
        <v>70000</v>
      </c>
    </row>
    <row r="6" spans="2:3" x14ac:dyDescent="0.3">
      <c r="B6" s="10" t="s">
        <v>33</v>
      </c>
      <c r="C6">
        <v>24000</v>
      </c>
    </row>
    <row r="7" spans="2:3" x14ac:dyDescent="0.3">
      <c r="B7" s="10" t="s">
        <v>34</v>
      </c>
      <c r="C7">
        <v>22000</v>
      </c>
    </row>
    <row r="8" spans="2:3" x14ac:dyDescent="0.3">
      <c r="B8" s="10" t="s">
        <v>35</v>
      </c>
      <c r="C8">
        <v>24000</v>
      </c>
    </row>
    <row r="9" spans="2:3" x14ac:dyDescent="0.3">
      <c r="B9" s="9" t="s">
        <v>29</v>
      </c>
      <c r="C9">
        <v>70000</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7C3F6-8373-4212-8663-A5C45C5226DF}">
  <dimension ref="C3:D8"/>
  <sheetViews>
    <sheetView workbookViewId="0">
      <selection activeCell="B18" sqref="B18"/>
    </sheetView>
  </sheetViews>
  <sheetFormatPr defaultRowHeight="14.4" x14ac:dyDescent="0.3"/>
  <cols>
    <col min="1" max="1" width="12.5546875" bestFit="1" customWidth="1"/>
    <col min="2" max="2" width="11.33203125" customWidth="1"/>
    <col min="3" max="3" width="10.77734375" bestFit="1" customWidth="1"/>
    <col min="4" max="4" width="15.21875" customWidth="1"/>
  </cols>
  <sheetData>
    <row r="3" spans="3:4" ht="18" x14ac:dyDescent="0.35">
      <c r="C3" s="15" t="s">
        <v>39</v>
      </c>
      <c r="D3" s="15"/>
    </row>
    <row r="5" spans="3:4" x14ac:dyDescent="0.3">
      <c r="C5" s="8" t="s">
        <v>5</v>
      </c>
      <c r="D5" t="s">
        <v>30</v>
      </c>
    </row>
    <row r="6" spans="3:4" x14ac:dyDescent="0.3">
      <c r="C6" s="9" t="s">
        <v>27</v>
      </c>
      <c r="D6">
        <v>71000</v>
      </c>
    </row>
    <row r="7" spans="3:4" x14ac:dyDescent="0.3">
      <c r="C7" s="9" t="s">
        <v>28</v>
      </c>
      <c r="D7">
        <v>44000</v>
      </c>
    </row>
    <row r="8" spans="3:4" x14ac:dyDescent="0.3">
      <c r="C8" s="9" t="s">
        <v>29</v>
      </c>
      <c r="D8">
        <v>115000</v>
      </c>
    </row>
  </sheetData>
  <mergeCells count="1">
    <mergeCell ref="C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C8A0-5C94-4AB7-A33C-BBA09524DAF3}">
  <dimension ref="C3:D16"/>
  <sheetViews>
    <sheetView workbookViewId="0">
      <selection activeCell="D11" sqref="D11"/>
    </sheetView>
  </sheetViews>
  <sheetFormatPr defaultRowHeight="14.4" x14ac:dyDescent="0.3"/>
  <cols>
    <col min="1" max="1" width="12.5546875" bestFit="1" customWidth="1"/>
    <col min="2" max="2" width="11.6640625" bestFit="1" customWidth="1"/>
    <col min="3" max="3" width="11.109375" bestFit="1" customWidth="1"/>
    <col min="4" max="4" width="11.6640625" bestFit="1" customWidth="1"/>
  </cols>
  <sheetData>
    <row r="3" spans="3:4" ht="15.6" x14ac:dyDescent="0.3">
      <c r="C3" s="16" t="s">
        <v>40</v>
      </c>
      <c r="D3" s="16"/>
    </row>
    <row r="5" spans="3:4" x14ac:dyDescent="0.3">
      <c r="C5" s="8" t="s">
        <v>42</v>
      </c>
      <c r="D5" t="s">
        <v>30</v>
      </c>
    </row>
    <row r="6" spans="3:4" x14ac:dyDescent="0.3">
      <c r="C6" s="9" t="s">
        <v>19</v>
      </c>
      <c r="D6">
        <v>6000</v>
      </c>
    </row>
    <row r="7" spans="3:4" x14ac:dyDescent="0.3">
      <c r="C7" s="9" t="s">
        <v>26</v>
      </c>
      <c r="D7">
        <v>11250</v>
      </c>
    </row>
    <row r="8" spans="3:4" x14ac:dyDescent="0.3">
      <c r="C8" s="9" t="s">
        <v>21</v>
      </c>
      <c r="D8">
        <v>7500</v>
      </c>
    </row>
    <row r="9" spans="3:4" x14ac:dyDescent="0.3">
      <c r="C9" s="9" t="s">
        <v>23</v>
      </c>
      <c r="D9">
        <v>5500</v>
      </c>
    </row>
    <row r="10" spans="3:4" x14ac:dyDescent="0.3">
      <c r="C10" s="9" t="s">
        <v>17</v>
      </c>
      <c r="D10">
        <v>20000</v>
      </c>
    </row>
    <row r="11" spans="3:4" x14ac:dyDescent="0.3">
      <c r="C11" s="9" t="s">
        <v>18</v>
      </c>
      <c r="D11">
        <v>18000</v>
      </c>
    </row>
    <row r="12" spans="3:4" x14ac:dyDescent="0.3">
      <c r="C12" s="9" t="s">
        <v>24</v>
      </c>
      <c r="D12">
        <v>14000</v>
      </c>
    </row>
    <row r="13" spans="3:4" x14ac:dyDescent="0.3">
      <c r="C13" s="9" t="s">
        <v>22</v>
      </c>
      <c r="D13">
        <v>6000</v>
      </c>
    </row>
    <row r="14" spans="3:4" x14ac:dyDescent="0.3">
      <c r="C14" s="9" t="s">
        <v>25</v>
      </c>
      <c r="D14">
        <v>18000</v>
      </c>
    </row>
    <row r="15" spans="3:4" x14ac:dyDescent="0.3">
      <c r="C15" s="9" t="s">
        <v>20</v>
      </c>
      <c r="D15">
        <v>8750</v>
      </c>
    </row>
    <row r="16" spans="3:4" x14ac:dyDescent="0.3">
      <c r="C16" s="9" t="s">
        <v>29</v>
      </c>
      <c r="D16">
        <v>115000</v>
      </c>
    </row>
  </sheetData>
  <mergeCells count="1">
    <mergeCell ref="C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4701A-3EB9-4BAE-98DC-1185A8791BAB}">
  <dimension ref="D19:E19"/>
  <sheetViews>
    <sheetView showGridLines="0" tabSelected="1" topLeftCell="A4" workbookViewId="0"/>
  </sheetViews>
  <sheetFormatPr defaultRowHeight="14.4" x14ac:dyDescent="0.3"/>
  <cols>
    <col min="4" max="4" width="14.77734375" style="14" bestFit="1" customWidth="1"/>
  </cols>
  <sheetData>
    <row r="19" spans="4:5" ht="18" x14ac:dyDescent="0.35">
      <c r="D19" s="12"/>
      <c r="E19" s="1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32D52C-DAFA-4D02-9730-E80B21EC4C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Pivot_Data - 1</vt:lpstr>
      <vt:lpstr>Pivot_Data - 2</vt:lpstr>
      <vt:lpstr>Pivot_Data - 3</vt:lpstr>
      <vt:lpstr>Pivot_Data - 4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shubrat1877@gmail.com</dc:creator>
  <cp:lastModifiedBy>shubrat1877@gmail.com</cp:lastModifiedBy>
  <cp:lastPrinted>2026-01-14T03:54:18Z</cp:lastPrinted>
  <dcterms:created xsi:type="dcterms:W3CDTF">2026-01-14T02:29:02Z</dcterms:created>
  <dcterms:modified xsi:type="dcterms:W3CDTF">2026-01-16T04:24:40Z</dcterms:modified>
</cp:coreProperties>
</file>